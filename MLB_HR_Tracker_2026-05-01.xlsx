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0 Ranked" sheetId="1" state="visible" r:id="rId1"/>
    <sheet xmlns:r="http://schemas.openxmlformats.org/officeDocument/2006/relationships" name="Top 15 +EV Plays" sheetId="2" state="visible" r:id="rId2"/>
    <sheet xmlns:r="http://schemas.openxmlformats.org/officeDocument/2006/relationships" name="Daily ROI Tracker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%;[Red](0.0%)"/>
    <numFmt numFmtId="167" formatCode="$#,##0.00"/>
    <numFmt numFmtId="168" formatCode="$#,##0.00;[Red]($#,##0.00)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6" borderId="1" pivotButton="0" quotePrefix="0" xfId="0"/>
    <xf numFmtId="167" fontId="7" fillId="6" borderId="1" pivotButton="0" quotePrefix="0" xfId="0"/>
    <xf numFmtId="168" fontId="7" fillId="6" borderId="1" pivotButton="0" quotePrefix="0" xfId="0"/>
    <xf numFmtId="166" fontId="7" fillId="6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7" customWidth="1" min="4" max="4"/>
    <col width="5" customWidth="1" min="5" max="5"/>
    <col width="22" customWidth="1" min="6" max="6"/>
    <col width="7" customWidth="1" min="7" max="7"/>
    <col width="18" customWidth="1" min="8" max="8"/>
    <col width="9" customWidth="1" min="9" max="9"/>
    <col width="8" customWidth="1" min="10" max="10"/>
    <col width="12" customWidth="1" min="11" max="11"/>
    <col width="11" customWidth="1" min="12" max="12"/>
    <col width="12" customWidth="1" min="13" max="13"/>
    <col width="11" customWidth="1" min="14" max="14"/>
    <col width="11" customWidth="1" min="15" max="15"/>
    <col width="9" customWidth="1" min="16" max="16"/>
    <col width="7" customWidth="1" min="17" max="17"/>
    <col width="55" customWidth="1" min="18" max="18"/>
  </cols>
  <sheetData>
    <row r="1" ht="22" customHeight="1">
      <c r="A1" s="1" t="inlineStr">
        <is>
          <t>MLB HR Prop Bets v2 — Top 30 Ranked (barrel-first model + reverse splits)</t>
        </is>
      </c>
    </row>
    <row r="2">
      <c r="A2" s="2" t="inlineStr">
        <is>
          <t>Date: Friday, May 1, 2026 (v2 — barrel-first model + reverse splits) · Model v2.0</t>
        </is>
      </c>
    </row>
    <row r="4" ht="36" customHeight="1">
      <c r="A4" s="3" t="inlineStr">
        <is>
          <t>Rank</t>
        </is>
      </c>
      <c r="B4" s="3" t="inlineStr">
        <is>
          <t>Action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Bat</t>
        </is>
      </c>
      <c r="F4" s="3" t="inlineStr">
        <is>
          <t>Opp Pitcher</t>
        </is>
      </c>
      <c r="G4" s="3" t="inlineStr">
        <is>
          <t>Throws</t>
        </is>
      </c>
      <c r="H4" s="3" t="inlineStr">
        <is>
          <t>Park</t>
        </is>
      </c>
      <c r="I4" s="3" t="inlineStr">
        <is>
          <t>Park HR</t>
        </is>
      </c>
      <c r="J4" s="3" t="inlineStr">
        <is>
          <t>H Brl%</t>
        </is>
      </c>
      <c r="K4" s="3" t="inlineStr">
        <is>
          <t>SP Brl% Allow</t>
        </is>
      </c>
      <c r="L4" s="3" t="inlineStr">
        <is>
          <t>Rev Split</t>
        </is>
      </c>
      <c r="M4" s="3" t="inlineStr">
        <is>
          <t>Model P(HR)</t>
        </is>
      </c>
      <c r="N4" s="3" t="inlineStr">
        <is>
          <t>Fair Odds</t>
        </is>
      </c>
      <c r="O4" s="3" t="inlineStr">
        <is>
          <t>FD Odds</t>
        </is>
      </c>
      <c r="P4" s="3" t="inlineStr">
        <is>
          <t>EV %</t>
        </is>
      </c>
      <c r="Q4" s="3" t="inlineStr">
        <is>
          <t>Conf</t>
        </is>
      </c>
      <c r="R4" s="3" t="inlineStr">
        <is>
          <t>Notes</t>
        </is>
      </c>
    </row>
    <row r="5" ht="50" customHeight="1">
      <c r="A5" s="4" t="n">
        <v>1</v>
      </c>
      <c r="B5" s="5" t="inlineStr">
        <is>
          <t>BET</t>
        </is>
      </c>
      <c r="C5" s="6" t="inlineStr">
        <is>
          <t>Ozzie Albies</t>
        </is>
      </c>
      <c r="D5" s="4" t="inlineStr">
        <is>
          <t>ATL</t>
        </is>
      </c>
      <c r="E5" s="4" t="inlineStr">
        <is>
          <t>S</t>
        </is>
      </c>
      <c r="F5" s="4" t="inlineStr">
        <is>
          <t>Jose Quintana</t>
        </is>
      </c>
      <c r="G5" s="4" t="inlineStr">
        <is>
          <t>L</t>
        </is>
      </c>
      <c r="H5" s="4" t="inlineStr">
        <is>
          <t>Coors Field</t>
        </is>
      </c>
      <c r="I5" s="7" t="n">
        <v>1.3</v>
      </c>
      <c r="J5" s="8" t="n">
        <v>9.5</v>
      </c>
      <c r="K5" s="8" t="n">
        <v>9</v>
      </c>
      <c r="L5" s="4" t="inlineStr">
        <is>
          <t>NORMAL</t>
        </is>
      </c>
      <c r="M5" s="9" t="n">
        <v>0.24</v>
      </c>
      <c r="N5" s="4">
        <f>IF(M5&lt;0.5,"+"&amp;ROUND((1-M5)/M5*100,0),"-"&amp;ROUND(M5/(1-M5)*100,0))</f>
        <v/>
      </c>
      <c r="O5" s="4" t="inlineStr">
        <is>
          <t>+490</t>
        </is>
      </c>
      <c r="P5" s="10">
        <f>IF(LEFT(O5,1)="+", M5*(VALUE(MID(O5,2,10))/100) - (1-M5), M5 - (1-M5)*(100/VALUE(MID(O5,2,10))))</f>
        <v/>
      </c>
      <c r="Q5" s="4" t="inlineStr">
        <is>
          <t>A</t>
        </is>
      </c>
      <c r="R5" s="11" t="inlineStr">
        <is>
          <t>INSANE career edge: Albies 9-for-19 with 3 HR off Quintana for 1.553 OPS. Switch hitter bats R vs LHP. Coors HR factor 1.30. Quintana 4.91 ERA, 1.53 WHIP, weak form. Top play of the day.</t>
        </is>
      </c>
    </row>
    <row r="6" ht="50" customHeight="1">
      <c r="A6" s="4" t="n">
        <v>2</v>
      </c>
      <c r="B6" s="12" t="inlineStr">
        <is>
          <t>MONITOR</t>
        </is>
      </c>
      <c r="C6" s="6" t="inlineStr">
        <is>
          <t>Aaron Judge</t>
        </is>
      </c>
      <c r="D6" s="4" t="inlineStr">
        <is>
          <t>NYY</t>
        </is>
      </c>
      <c r="E6" s="4" t="inlineStr">
        <is>
          <t>R</t>
        </is>
      </c>
      <c r="F6" s="4" t="inlineStr">
        <is>
          <t>Cade Povich</t>
        </is>
      </c>
      <c r="G6" s="4" t="inlineStr">
        <is>
          <t>L</t>
        </is>
      </c>
      <c r="H6" s="4" t="inlineStr">
        <is>
          <t>Yankee Stadium</t>
        </is>
      </c>
      <c r="I6" s="7" t="n">
        <v>1.12</v>
      </c>
      <c r="J6" s="8" t="n">
        <v>14.2</v>
      </c>
      <c r="K6" s="8" t="n">
        <v>9.5</v>
      </c>
      <c r="L6" s="4" t="inlineStr">
        <is>
          <t>NORMAL</t>
        </is>
      </c>
      <c r="M6" s="9" t="n">
        <v>0.28</v>
      </c>
      <c r="N6" s="4">
        <f>IF(M6&lt;0.5,"+"&amp;ROUND((1-M6)/M6*100,0),"-"&amp;ROUND(M6/(1-M6)*100,0))</f>
        <v/>
      </c>
      <c r="O6" s="4" t="inlineStr">
        <is>
          <t>+220</t>
        </is>
      </c>
      <c r="P6" s="10">
        <f>IF(LEFT(O6,1)="+", M6*(VALUE(MID(O6,2,10))/100) - (1-M6), M6 - (1-M6)*(100/VALUE(MID(O6,2,10))))</f>
        <v/>
      </c>
      <c r="Q6" s="4" t="inlineStr">
        <is>
          <t>A</t>
        </is>
      </c>
      <c r="R6" s="11" t="inlineStr">
        <is>
          <t>Judge 14.2% barrel% (top-5 MLB), 12 HR in ~32 G, .622 SLG. RvL platoon at Yankee Stadium (RHB pull HR factor 1.12). Povich is rookie LHP — vulnerable to RHB. Premium spot but FD line tight at -EV. Trigger BET if FD ≥ +250.</t>
        </is>
      </c>
    </row>
    <row r="7" ht="50" customHeight="1">
      <c r="A7" s="4" t="n">
        <v>3</v>
      </c>
      <c r="B7" s="5" t="inlineStr">
        <is>
          <t>BET</t>
        </is>
      </c>
      <c r="C7" s="6" t="inlineStr">
        <is>
          <t>Hunter Goodman</t>
        </is>
      </c>
      <c r="D7" s="4" t="inlineStr">
        <is>
          <t>COL</t>
        </is>
      </c>
      <c r="E7" s="4" t="inlineStr">
        <is>
          <t>R</t>
        </is>
      </c>
      <c r="F7" s="4" t="inlineStr">
        <is>
          <t>Grant Holmes</t>
        </is>
      </c>
      <c r="G7" s="4" t="inlineStr">
        <is>
          <t>R</t>
        </is>
      </c>
      <c r="H7" s="4" t="inlineStr">
        <is>
          <t>Coors Field</t>
        </is>
      </c>
      <c r="I7" s="7" t="n">
        <v>1.3</v>
      </c>
      <c r="J7" s="8" t="n">
        <v>11.5</v>
      </c>
      <c r="K7" s="8" t="n">
        <v>8</v>
      </c>
      <c r="L7" s="4" t="inlineStr">
        <is>
          <t>NORMAL</t>
        </is>
      </c>
      <c r="M7" s="9" t="n">
        <v>0.22</v>
      </c>
      <c r="N7" s="4">
        <f>IF(M7&lt;0.5,"+"&amp;ROUND((1-M7)/M7*100,0),"-"&amp;ROUND(M7/(1-M7)*100,0))</f>
        <v/>
      </c>
      <c r="O7" s="4" t="inlineStr">
        <is>
          <t>+470</t>
        </is>
      </c>
      <c r="P7" s="10">
        <f>IF(LEFT(O7,1)="+", M7*(VALUE(MID(O7,2,10))/100) - (1-M7), M7 - (1-M7)*(100/VALUE(MID(O7,2,10))))</f>
        <v/>
      </c>
      <c r="Q7" s="4" t="inlineStr">
        <is>
          <t>A-</t>
        </is>
      </c>
      <c r="R7" s="11" t="inlineStr">
        <is>
          <t>Goodman 9 HR in 29 G (24.1% rate), elite Coors home power. Holmes is decent (3.62 ERA) but Coors HR factor 1.30 dominates. RvR platoon neutral but park overrides.</t>
        </is>
      </c>
    </row>
    <row r="8" ht="50" customHeight="1">
      <c r="A8" s="4" t="n">
        <v>4</v>
      </c>
      <c r="B8" s="13" t="inlineStr">
        <is>
          <t>PASS</t>
        </is>
      </c>
      <c r="C8" s="6" t="inlineStr">
        <is>
          <t>Marcell Ozuna</t>
        </is>
      </c>
      <c r="D8" s="4" t="inlineStr">
        <is>
          <t>PIT</t>
        </is>
      </c>
      <c r="E8" s="4" t="inlineStr">
        <is>
          <t>R</t>
        </is>
      </c>
      <c r="F8" s="4" t="inlineStr">
        <is>
          <t>Brady Singer</t>
        </is>
      </c>
      <c r="G8" s="4" t="inlineStr">
        <is>
          <t>R</t>
        </is>
      </c>
      <c r="H8" s="4" t="inlineStr">
        <is>
          <t>PNC Park</t>
        </is>
      </c>
      <c r="I8" s="7" t="n">
        <v>0.85</v>
      </c>
      <c r="J8" s="8" t="n">
        <v>10</v>
      </c>
      <c r="K8" s="8" t="n">
        <v>8</v>
      </c>
      <c r="L8" s="4" t="inlineStr">
        <is>
          <t>NORMAL</t>
        </is>
      </c>
      <c r="M8" s="9" t="n">
        <v>0.09</v>
      </c>
      <c r="N8" s="4">
        <f>IF(M8&lt;0.5,"+"&amp;ROUND((1-M8)/M8*100,0),"-"&amp;ROUND(M8/(1-M8)*100,0))</f>
        <v/>
      </c>
      <c r="O8" s="4" t="inlineStr">
        <is>
          <t>+710</t>
        </is>
      </c>
      <c r="P8" s="10">
        <f>IF(LEFT(O8,1)="+", M8*(VALUE(MID(O8,2,10))/100) - (1-M8), M8 - (1-M8)*(100/VALUE(MID(O8,2,10))))</f>
        <v/>
      </c>
      <c r="Q8" s="4" t="inlineStr">
        <is>
          <t>C</t>
        </is>
      </c>
      <c r="R8" s="11" t="inlineStr">
        <is>
          <t>TEAM CORRECTED — Ozuna is on PIT in 2026 (signed Feb 16). Game is CIN @ PIT vs Singer (RHP), not ATL @ COL vs Quintana. RvR neutral. PNC kills RHB HRs (factor 0.85). Ozuna 2 HR in 26 G — slow form. Pass.</t>
        </is>
      </c>
    </row>
    <row r="9" ht="50" customHeight="1">
      <c r="A9" s="4" t="n">
        <v>5</v>
      </c>
      <c r="B9" s="12" t="inlineStr">
        <is>
          <t>MONITOR</t>
        </is>
      </c>
      <c r="C9" s="6" t="inlineStr">
        <is>
          <t>Elly De La Cruz</t>
        </is>
      </c>
      <c r="D9" s="4" t="inlineStr">
        <is>
          <t>CIN</t>
        </is>
      </c>
      <c r="E9" s="4" t="inlineStr">
        <is>
          <t>S</t>
        </is>
      </c>
      <c r="F9" s="4" t="inlineStr">
        <is>
          <t>Mitch Keller</t>
        </is>
      </c>
      <c r="G9" s="4" t="inlineStr">
        <is>
          <t>R</t>
        </is>
      </c>
      <c r="H9" s="4" t="inlineStr">
        <is>
          <t>PNC Park</t>
        </is>
      </c>
      <c r="I9" s="7" t="n">
        <v>0.95</v>
      </c>
      <c r="J9" s="8" t="n">
        <v>13.5</v>
      </c>
      <c r="K9" s="8" t="n">
        <v>8.5</v>
      </c>
      <c r="L9" s="4" t="inlineStr">
        <is>
          <t>NORMAL</t>
        </is>
      </c>
      <c r="M9" s="9" t="n">
        <v>0.18</v>
      </c>
      <c r="N9" s="4">
        <f>IF(M9&lt;0.5,"+"&amp;ROUND((1-M9)/M9*100,0),"-"&amp;ROUND(M9/(1-M9)*100,0))</f>
        <v/>
      </c>
      <c r="O9" s="4" t="inlineStr">
        <is>
          <t>+420</t>
        </is>
      </c>
      <c r="P9" s="10">
        <f>IF(LEFT(O9,1)="+", M9*(VALUE(MID(O9,2,10))/100) - (1-M9), M9 - (1-M9)*(100/VALUE(MID(O9,2,10))))</f>
        <v/>
      </c>
      <c r="Q9" s="4" t="inlineStr">
        <is>
          <t>B+</t>
        </is>
      </c>
      <c r="R9" s="11" t="inlineStr">
        <is>
          <t>EDLC switch hitter, bats L vs RHP — PNC LHB-friendly RF. 10 HR in 31 G (29% HR-per-game). Keller league-avg-ish. Marginal -EV at +420 — bet if FD ≥ +470.</t>
        </is>
      </c>
    </row>
    <row r="10" ht="50" customHeight="1">
      <c r="A10" s="4" t="n">
        <v>6</v>
      </c>
      <c r="B10" s="12" t="inlineStr">
        <is>
          <t>MONITOR</t>
        </is>
      </c>
      <c r="C10" s="6" t="inlineStr">
        <is>
          <t>Oneil Cruz</t>
        </is>
      </c>
      <c r="D10" s="4" t="inlineStr">
        <is>
          <t>PIT</t>
        </is>
      </c>
      <c r="E10" s="4" t="inlineStr">
        <is>
          <t>L</t>
        </is>
      </c>
      <c r="F10" s="4" t="inlineStr">
        <is>
          <t>Brady Singer</t>
        </is>
      </c>
      <c r="G10" s="4" t="inlineStr">
        <is>
          <t>R</t>
        </is>
      </c>
      <c r="H10" s="4" t="inlineStr">
        <is>
          <t>PNC Park</t>
        </is>
      </c>
      <c r="I10" s="7" t="n">
        <v>1.05</v>
      </c>
      <c r="J10" s="8" t="n">
        <v>22.7</v>
      </c>
      <c r="K10" s="8" t="n">
        <v>8</v>
      </c>
      <c r="L10" s="4" t="inlineStr">
        <is>
          <t>NORMAL</t>
        </is>
      </c>
      <c r="M10" s="9" t="n">
        <v>0.22</v>
      </c>
      <c r="N10" s="4">
        <f>IF(M10&lt;0.5,"+"&amp;ROUND((1-M10)/M10*100,0),"-"&amp;ROUND(M10/(1-M10)*100,0))</f>
        <v/>
      </c>
      <c r="O10" s="4" t="inlineStr">
        <is>
          <t>+300</t>
        </is>
      </c>
      <c r="P10" s="10">
        <f>IF(LEFT(O10,1)="+", M10*(VALUE(MID(O10,2,10))/100) - (1-M10), M10 - (1-M10)*(100/VALUE(MID(O10,2,10))))</f>
        <v/>
      </c>
      <c r="Q10" s="4" t="inlineStr">
        <is>
          <t>A-</t>
        </is>
      </c>
      <c r="R10" s="11" t="inlineStr">
        <is>
          <t>Cruz 22.7% barrel% (top-5 MLB), 9 HR in 30 G (26.7% rate), 99th-pct exit velo. LvR favorable. Singer's sinker keeps balls in but Cruz's hard contact wins. FD too short — wait for +360 to fire.</t>
        </is>
      </c>
    </row>
    <row r="11" ht="50" customHeight="1">
      <c r="A11" s="4" t="n">
        <v>7</v>
      </c>
      <c r="B11" s="12" t="inlineStr">
        <is>
          <t>MONITOR</t>
        </is>
      </c>
      <c r="C11" s="6" t="inlineStr">
        <is>
          <t>Mickey Moniak</t>
        </is>
      </c>
      <c r="D11" s="4" t="inlineStr">
        <is>
          <t>COL</t>
        </is>
      </c>
      <c r="E11" s="4" t="inlineStr">
        <is>
          <t>L</t>
        </is>
      </c>
      <c r="F11" s="4" t="inlineStr">
        <is>
          <t>Grant Holmes</t>
        </is>
      </c>
      <c r="G11" s="4" t="inlineStr">
        <is>
          <t>R</t>
        </is>
      </c>
      <c r="H11" s="4" t="inlineStr">
        <is>
          <t>Coors Field</t>
        </is>
      </c>
      <c r="I11" s="7" t="n">
        <v>1.3</v>
      </c>
      <c r="J11" s="8" t="n">
        <v>10</v>
      </c>
      <c r="K11" s="8" t="n">
        <v>8</v>
      </c>
      <c r="L11" s="4" t="inlineStr">
        <is>
          <t>NORMAL</t>
        </is>
      </c>
      <c r="M11" s="9" t="n">
        <v>0.18</v>
      </c>
      <c r="N11" s="4">
        <f>IF(M11&lt;0.5,"+"&amp;ROUND((1-M11)/M11*100,0),"-"&amp;ROUND(M11/(1-M11)*100,0))</f>
        <v/>
      </c>
      <c r="O11" s="4" t="inlineStr">
        <is>
          <t>+420</t>
        </is>
      </c>
      <c r="P11" s="10">
        <f>IF(LEFT(O11,1)="+", M11*(VALUE(MID(O11,2,10))/100) - (1-M11), M11 - (1-M11)*(100/VALUE(MID(O11,2,10))))</f>
        <v/>
      </c>
      <c r="Q11" s="4" t="inlineStr">
        <is>
          <t>B</t>
        </is>
      </c>
      <c r="R11" s="11" t="inlineStr">
        <is>
          <t>Moniak 8 HR in 25 G (20% rate). LvR favorable, Coors HR factor 1.30. Marginal -EV at +420 — wait for +470.</t>
        </is>
      </c>
    </row>
    <row r="12" ht="50" customHeight="1">
      <c r="A12" s="4" t="n">
        <v>8</v>
      </c>
      <c r="B12" s="12" t="inlineStr">
        <is>
          <t>MONITOR</t>
        </is>
      </c>
      <c r="C12" s="6" t="inlineStr">
        <is>
          <t>Austin Riley</t>
        </is>
      </c>
      <c r="D12" s="4" t="inlineStr">
        <is>
          <t>ATL</t>
        </is>
      </c>
      <c r="E12" s="4" t="inlineStr">
        <is>
          <t>R</t>
        </is>
      </c>
      <c r="F12" s="4" t="inlineStr">
        <is>
          <t>Jose Quintana</t>
        </is>
      </c>
      <c r="G12" s="4" t="inlineStr">
        <is>
          <t>L</t>
        </is>
      </c>
      <c r="H12" s="4" t="inlineStr">
        <is>
          <t>Coors Field</t>
        </is>
      </c>
      <c r="I12" s="7" t="n">
        <v>1.3</v>
      </c>
      <c r="J12" s="8" t="n">
        <v>12</v>
      </c>
      <c r="K12" s="8" t="n">
        <v>9</v>
      </c>
      <c r="L12" s="4" t="inlineStr">
        <is>
          <t>NORMAL</t>
        </is>
      </c>
      <c r="M12" s="9" t="n">
        <v>0.17</v>
      </c>
      <c r="N12" s="4">
        <f>IF(M12&lt;0.5,"+"&amp;ROUND((1-M12)/M12*100,0),"-"&amp;ROUND(M12/(1-M12)*100,0))</f>
        <v/>
      </c>
      <c r="O12" s="4" t="inlineStr">
        <is>
          <t>+390</t>
        </is>
      </c>
      <c r="P12" s="10">
        <f>IF(LEFT(O12,1)="+", M12*(VALUE(MID(O12,2,10))/100) - (1-M12), M12 - (1-M12)*(100/VALUE(MID(O12,2,10))))</f>
        <v/>
      </c>
      <c r="Q12" s="4" t="inlineStr">
        <is>
          <t>B</t>
        </is>
      </c>
      <c r="R12" s="11" t="inlineStr">
        <is>
          <t>Career power. RvL platoon at Coors. Quintana weak. But FD priced him short on his name — slow start (3 HR in 32 G) hasn't been respected. Bet if FD ≥ +470.</t>
        </is>
      </c>
    </row>
    <row r="13" ht="50" customHeight="1">
      <c r="A13" s="4" t="n">
        <v>9</v>
      </c>
      <c r="B13" s="12" t="inlineStr">
        <is>
          <t>MONITOR</t>
        </is>
      </c>
      <c r="C13" s="6" t="inlineStr">
        <is>
          <t>Drake Baldwin</t>
        </is>
      </c>
      <c r="D13" s="4" t="inlineStr">
        <is>
          <t>ATL</t>
        </is>
      </c>
      <c r="E13" s="4" t="inlineStr">
        <is>
          <t>L</t>
        </is>
      </c>
      <c r="F13" s="4" t="inlineStr">
        <is>
          <t>Jose Quintana</t>
        </is>
      </c>
      <c r="G13" s="4" t="inlineStr">
        <is>
          <t>L</t>
        </is>
      </c>
      <c r="H13" s="4" t="inlineStr">
        <is>
          <t>Coors Field</t>
        </is>
      </c>
      <c r="I13" s="7" t="n">
        <v>1.3</v>
      </c>
      <c r="J13" s="8" t="n">
        <v>12</v>
      </c>
      <c r="K13" s="8" t="n">
        <v>9</v>
      </c>
      <c r="L13" s="4" t="inlineStr">
        <is>
          <t>NORMAL</t>
        </is>
      </c>
      <c r="M13" s="9" t="n">
        <v>0.17</v>
      </c>
      <c r="N13" s="4">
        <f>IF(M13&lt;0.5,"+"&amp;ROUND((1-M13)/M13*100,0),"-"&amp;ROUND(M13/(1-M13)*100,0))</f>
        <v/>
      </c>
      <c r="O13" s="4" t="inlineStr">
        <is>
          <t>+490</t>
        </is>
      </c>
      <c r="P13" s="10">
        <f>IF(LEFT(O13,1)="+", M13*(VALUE(MID(O13,2,10))/100) - (1-M13), M13 - (1-M13)*(100/VALUE(MID(O13,2,10))))</f>
        <v/>
      </c>
      <c r="Q13" s="4" t="inlineStr">
        <is>
          <t>B-</t>
        </is>
      </c>
      <c r="R13" s="11" t="inlineStr">
        <is>
          <t>Baldwin 7 HR in 32 G (21.9% rate). LvL unfavorable but Coors HR factor 1.30 helps and Quintana weak. Flat EV — coin flip.</t>
        </is>
      </c>
    </row>
    <row r="14" ht="50" customHeight="1">
      <c r="A14" s="4" t="n">
        <v>10</v>
      </c>
      <c r="B14" s="12" t="inlineStr">
        <is>
          <t>MONITOR</t>
        </is>
      </c>
      <c r="C14" s="6" t="inlineStr">
        <is>
          <t>Juan Soto</t>
        </is>
      </c>
      <c r="D14" s="4" t="inlineStr">
        <is>
          <t>NYM</t>
        </is>
      </c>
      <c r="E14" s="4" t="inlineStr">
        <is>
          <t>L</t>
        </is>
      </c>
      <c r="F14" s="4" t="inlineStr">
        <is>
          <t>Walbert Urena</t>
        </is>
      </c>
      <c r="G14" s="4" t="inlineStr">
        <is>
          <t>R</t>
        </is>
      </c>
      <c r="H14" s="4" t="inlineStr">
        <is>
          <t>Angel Stadium</t>
        </is>
      </c>
      <c r="I14" s="7" t="n">
        <v>1.02</v>
      </c>
      <c r="J14" s="8" t="n">
        <v>13</v>
      </c>
      <c r="K14" s="8" t="n">
        <v>9.5</v>
      </c>
      <c r="L14" s="4" t="inlineStr">
        <is>
          <t>NORMAL</t>
        </is>
      </c>
      <c r="M14" s="9" t="n">
        <v>0.2</v>
      </c>
      <c r="N14" s="4">
        <f>IF(M14&lt;0.5,"+"&amp;ROUND((1-M14)/M14*100,0),"-"&amp;ROUND(M14/(1-M14)*100,0))</f>
        <v/>
      </c>
      <c r="O14" s="4" t="inlineStr">
        <is>
          <t>+370</t>
        </is>
      </c>
      <c r="P14" s="10">
        <f>IF(LEFT(O14,1)="+", M14*(VALUE(MID(O14,2,10))/100) - (1-M14), M14 - (1-M14)*(100/VALUE(MID(O14,2,10))))</f>
        <v/>
      </c>
      <c r="Q14" s="4" t="inlineStr">
        <is>
          <t>B+</t>
        </is>
      </c>
      <c r="R14" s="11" t="inlineStr">
        <is>
          <t>Soto hot — .412 BA, 2 HR last 5 games. LvR favorable. Urena 0-3 with 4.76 ERA — weak form. Marginal -EV at +370 — wait for +420.</t>
        </is>
      </c>
    </row>
    <row r="15" ht="50" customHeight="1">
      <c r="A15" s="4" t="n">
        <v>11</v>
      </c>
      <c r="B15" s="12" t="inlineStr">
        <is>
          <t>MONITOR</t>
        </is>
      </c>
      <c r="C15" s="6" t="inlineStr">
        <is>
          <t>Ronald Acuña Jr.</t>
        </is>
      </c>
      <c r="D15" s="4" t="inlineStr">
        <is>
          <t>ATL</t>
        </is>
      </c>
      <c r="E15" s="4" t="inlineStr">
        <is>
          <t>R</t>
        </is>
      </c>
      <c r="F15" s="4" t="inlineStr">
        <is>
          <t>Jose Quintana</t>
        </is>
      </c>
      <c r="G15" s="4" t="inlineStr">
        <is>
          <t>L</t>
        </is>
      </c>
      <c r="H15" s="4" t="inlineStr">
        <is>
          <t>Coors Field</t>
        </is>
      </c>
      <c r="I15" s="7" t="n">
        <v>1.3</v>
      </c>
      <c r="J15" s="8" t="n">
        <v>12</v>
      </c>
      <c r="K15" s="8" t="n">
        <v>9</v>
      </c>
      <c r="L15" s="4" t="inlineStr">
        <is>
          <t>NORMAL</t>
        </is>
      </c>
      <c r="M15" s="9" t="n">
        <v>0.16</v>
      </c>
      <c r="N15" s="4">
        <f>IF(M15&lt;0.5,"+"&amp;ROUND((1-M15)/M15*100,0),"-"&amp;ROUND(M15/(1-M15)*100,0))</f>
        <v/>
      </c>
      <c r="O15" s="4" t="inlineStr">
        <is>
          <t>+370</t>
        </is>
      </c>
      <c r="P15" s="10">
        <f>IF(LEFT(O15,1)="+", M15*(VALUE(MID(O15,2,10))/100) - (1-M15), M15 - (1-M15)*(100/VALUE(MID(O15,2,10))))</f>
        <v/>
      </c>
      <c r="Q15" s="4" t="inlineStr">
        <is>
          <t>B</t>
        </is>
      </c>
      <c r="R15" s="11" t="inlineStr">
        <is>
          <t>RvL at Coors normally premium. Acuna 2 HR in 32 G — slow start, FD too aggressive on his name. Skip at +370.</t>
        </is>
      </c>
    </row>
    <row r="16" ht="50" customHeight="1">
      <c r="A16" s="4" t="n">
        <v>12</v>
      </c>
      <c r="B16" s="13" t="inlineStr">
        <is>
          <t>PASS</t>
        </is>
      </c>
      <c r="C16" s="6" t="inlineStr">
        <is>
          <t>Cal Raleigh</t>
        </is>
      </c>
      <c r="D16" s="4" t="inlineStr">
        <is>
          <t>SEA</t>
        </is>
      </c>
      <c r="E16" s="4" t="inlineStr">
        <is>
          <t>S</t>
        </is>
      </c>
      <c r="F16" s="4" t="inlineStr">
        <is>
          <t>TBD</t>
        </is>
      </c>
      <c r="G16" s="4" t="inlineStr">
        <is>
          <t>?</t>
        </is>
      </c>
      <c r="H16" s="4" t="inlineStr">
        <is>
          <t>TBD</t>
        </is>
      </c>
      <c r="I16" s="7" t="n">
        <v>1</v>
      </c>
      <c r="J16" s="8" t="n">
        <v>12</v>
      </c>
      <c r="K16" s="8" t="n"/>
      <c r="L16" s="4" t="inlineStr">
        <is>
          <t>NORMAL</t>
        </is>
      </c>
      <c r="M16" s="9" t="n">
        <v>0.16</v>
      </c>
      <c r="N16" s="4">
        <f>IF(M16&lt;0.5,"+"&amp;ROUND((1-M16)/M16*100,0),"-"&amp;ROUND(M16/(1-M16)*100,0))</f>
        <v/>
      </c>
      <c r="O16" s="4" t="inlineStr">
        <is>
          <t>+310</t>
        </is>
      </c>
      <c r="P16" s="10">
        <f>IF(LEFT(O16,1)="+", M16*(VALUE(MID(O16,2,10))/100) - (1-M16), M16 - (1-M16)*(100/VALUE(MID(O16,2,10))))</f>
        <v/>
      </c>
      <c r="Q16" s="4" t="inlineStr">
        <is>
          <t>C</t>
        </is>
      </c>
      <c r="R16" s="11" t="inlineStr">
        <is>
          <t>Need matchup data. 7 HR in 32 G (21.9% rate). FD priced as star — line too short.</t>
        </is>
      </c>
    </row>
    <row r="17" ht="50" customHeight="1">
      <c r="A17" s="4" t="n">
        <v>13</v>
      </c>
      <c r="B17" s="13" t="inlineStr">
        <is>
          <t>PASS</t>
        </is>
      </c>
      <c r="C17" s="6" t="inlineStr">
        <is>
          <t>Brandon Lowe</t>
        </is>
      </c>
      <c r="D17" s="4" t="inlineStr">
        <is>
          <t>TB</t>
        </is>
      </c>
      <c r="E17" s="4" t="inlineStr">
        <is>
          <t>L</t>
        </is>
      </c>
      <c r="F17" s="4" t="inlineStr">
        <is>
          <t>TBD</t>
        </is>
      </c>
      <c r="G17" s="4" t="inlineStr">
        <is>
          <t>?</t>
        </is>
      </c>
      <c r="H17" s="4" t="inlineStr">
        <is>
          <t>Tropicana Field</t>
        </is>
      </c>
      <c r="I17" s="7" t="n">
        <v>1.05</v>
      </c>
      <c r="J17" s="8" t="n">
        <v>11</v>
      </c>
      <c r="K17" s="8" t="n"/>
      <c r="L17" s="4" t="inlineStr">
        <is>
          <t>NORMAL</t>
        </is>
      </c>
      <c r="M17" s="9" t="n">
        <v>0.13</v>
      </c>
      <c r="N17" s="4">
        <f>IF(M17&lt;0.5,"+"&amp;ROUND((1-M17)/M17*100,0),"-"&amp;ROUND(M17/(1-M17)*100,0))</f>
        <v/>
      </c>
      <c r="O17" s="4" t="inlineStr">
        <is>
          <t>+490</t>
        </is>
      </c>
      <c r="P17" s="10">
        <f>IF(LEFT(O17,1)="+", M17*(VALUE(MID(O17,2,10))/100) - (1-M17), M17 - (1-M17)*(100/VALUE(MID(O17,2,10))))</f>
        <v/>
      </c>
      <c r="Q17" s="4" t="inlineStr">
        <is>
          <t>C</t>
        </is>
      </c>
      <c r="R17" s="11" t="inlineStr">
        <is>
          <t>LHB power. Need SF SP data. Line too short for solo confidence.</t>
        </is>
      </c>
    </row>
    <row r="18" ht="50" customHeight="1">
      <c r="A18" s="4" t="n">
        <v>14</v>
      </c>
      <c r="B18" s="13" t="inlineStr">
        <is>
          <t>PASS</t>
        </is>
      </c>
      <c r="C18" s="6" t="inlineStr">
        <is>
          <t>Sal Stewart</t>
        </is>
      </c>
      <c r="D18" s="4" t="inlineStr">
        <is>
          <t>CIN</t>
        </is>
      </c>
      <c r="E18" s="4" t="inlineStr">
        <is>
          <t>R</t>
        </is>
      </c>
      <c r="F18" s="4" t="inlineStr">
        <is>
          <t>Mitch Keller</t>
        </is>
      </c>
      <c r="G18" s="4" t="inlineStr">
        <is>
          <t>R</t>
        </is>
      </c>
      <c r="H18" s="4" t="inlineStr">
        <is>
          <t>PNC Park</t>
        </is>
      </c>
      <c r="I18" s="7" t="n">
        <v>0.95</v>
      </c>
      <c r="J18" s="8" t="n">
        <v>14.8</v>
      </c>
      <c r="K18" s="8" t="n">
        <v>8.5</v>
      </c>
      <c r="L18" s="4" t="inlineStr">
        <is>
          <t>NORMAL</t>
        </is>
      </c>
      <c r="M18" s="9" t="n">
        <v>0.16</v>
      </c>
      <c r="N18" s="4">
        <f>IF(M18&lt;0.5,"+"&amp;ROUND((1-M18)/M18*100,0),"-"&amp;ROUND(M18/(1-M18)*100,0))</f>
        <v/>
      </c>
      <c r="O18" s="4" t="inlineStr">
        <is>
          <t>+520</t>
        </is>
      </c>
      <c r="P18" s="10">
        <f>IF(LEFT(O18,1)="+", M18*(VALUE(MID(O18,2,10))/100) - (1-M18), M18 - (1-M18)*(100/VALUE(MID(O18,2,10))))</f>
        <v/>
      </c>
      <c r="Q18" s="4" t="inlineStr">
        <is>
          <t>B</t>
        </is>
      </c>
      <c r="R18" s="11" t="inlineStr">
        <is>
          <t>Stewart 14.8% barrel% (top-5 MLB). RvR neutral. PNC suppresses RHB HRs (factor 0.85). Almost flat EV — close call but slightly under.</t>
        </is>
      </c>
    </row>
    <row r="19" ht="50" customHeight="1">
      <c r="A19" s="4" t="n">
        <v>15</v>
      </c>
      <c r="B19" s="13" t="inlineStr">
        <is>
          <t>PASS</t>
        </is>
      </c>
      <c r="C19" s="6" t="inlineStr">
        <is>
          <t>Yordan Alvarez</t>
        </is>
      </c>
      <c r="D19" s="4" t="inlineStr">
        <is>
          <t>HOU</t>
        </is>
      </c>
      <c r="E19" s="4" t="inlineStr">
        <is>
          <t>L</t>
        </is>
      </c>
      <c r="F19" s="4" t="inlineStr">
        <is>
          <t>TBD</t>
        </is>
      </c>
      <c r="G19" s="4" t="inlineStr">
        <is>
          <t>?</t>
        </is>
      </c>
      <c r="H19" s="4" t="inlineStr">
        <is>
          <t>Fenway Park</t>
        </is>
      </c>
      <c r="I19" s="7" t="n">
        <v>1.05</v>
      </c>
      <c r="J19" s="8" t="n">
        <v>14</v>
      </c>
      <c r="K19" s="8" t="n"/>
      <c r="L19" s="4" t="inlineStr">
        <is>
          <t>NORMAL</t>
        </is>
      </c>
      <c r="M19" s="9" t="n">
        <v>0.2</v>
      </c>
      <c r="N19" s="4">
        <f>IF(M19&lt;0.5,"+"&amp;ROUND((1-M19)/M19*100,0),"-"&amp;ROUND(M19/(1-M19)*100,0))</f>
        <v/>
      </c>
      <c r="O19" s="4" t="inlineStr">
        <is>
          <t>+260</t>
        </is>
      </c>
      <c r="P19" s="10">
        <f>IF(LEFT(O19,1)="+", M19*(VALUE(MID(O19,2,10))/100) - (1-M19), M19 - (1-M19)*(100/VALUE(MID(O19,2,10))))</f>
        <v/>
      </c>
      <c r="Q19" s="4" t="inlineStr">
        <is>
          <t>C+</t>
        </is>
      </c>
      <c r="R19" s="11" t="inlineStr">
        <is>
          <t>Need BOS SP data. Yordan elite but Fenway is LHB-neutral and FD priced him short. Pass without confirmed matchup.</t>
        </is>
      </c>
    </row>
    <row r="20" ht="50" customHeight="1">
      <c r="A20" s="4" t="n">
        <v>16</v>
      </c>
      <c r="B20" s="13" t="inlineStr">
        <is>
          <t>PASS</t>
        </is>
      </c>
      <c r="C20" s="6" t="inlineStr">
        <is>
          <t>Vladimir Guerrero Jr.</t>
        </is>
      </c>
      <c r="D20" s="4" t="inlineStr">
        <is>
          <t>TOR</t>
        </is>
      </c>
      <c r="E20" s="4" t="inlineStr">
        <is>
          <t>R</t>
        </is>
      </c>
      <c r="F20" s="4" t="inlineStr">
        <is>
          <t>TBD</t>
        </is>
      </c>
      <c r="G20" s="4" t="inlineStr">
        <is>
          <t>?</t>
        </is>
      </c>
      <c r="H20" s="4" t="inlineStr">
        <is>
          <t>Target Field</t>
        </is>
      </c>
      <c r="I20" s="7" t="n">
        <v>0.98</v>
      </c>
      <c r="J20" s="8" t="n">
        <v>11</v>
      </c>
      <c r="K20" s="8" t="n"/>
      <c r="L20" s="4" t="inlineStr">
        <is>
          <t>NORMAL</t>
        </is>
      </c>
      <c r="M20" s="9" t="n">
        <v>0.13</v>
      </c>
      <c r="N20" s="4">
        <f>IF(M20&lt;0.5,"+"&amp;ROUND((1-M20)/M20*100,0),"-"&amp;ROUND(M20/(1-M20)*100,0))</f>
        <v/>
      </c>
      <c r="O20" s="4" t="inlineStr">
        <is>
          <t>+450</t>
        </is>
      </c>
      <c r="P20" s="10">
        <f>IF(LEFT(O20,1)="+", M20*(VALUE(MID(O20,2,10))/100) - (1-M20), M20 - (1-M20)*(100/VALUE(MID(O20,2,10))))</f>
        <v/>
      </c>
      <c r="Q20" s="4" t="inlineStr">
        <is>
          <t>C</t>
        </is>
      </c>
      <c r="R20" s="11" t="inlineStr">
        <is>
          <t>Need MIN SP. Vlad elite vs RHP. FD too short on his name.</t>
        </is>
      </c>
    </row>
    <row r="21" ht="50" customHeight="1">
      <c r="A21" s="4" t="n">
        <v>17</v>
      </c>
      <c r="B21" s="13" t="inlineStr">
        <is>
          <t>PASS</t>
        </is>
      </c>
      <c r="C21" s="6" t="inlineStr">
        <is>
          <t>Pete Alonso</t>
        </is>
      </c>
      <c r="D21" s="4" t="inlineStr">
        <is>
          <t>NYM</t>
        </is>
      </c>
      <c r="E21" s="4" t="inlineStr">
        <is>
          <t>R</t>
        </is>
      </c>
      <c r="F21" s="4" t="inlineStr">
        <is>
          <t>Walbert Urena</t>
        </is>
      </c>
      <c r="G21" s="4" t="inlineStr">
        <is>
          <t>R</t>
        </is>
      </c>
      <c r="H21" s="4" t="inlineStr">
        <is>
          <t>Angel Stadium</t>
        </is>
      </c>
      <c r="I21" s="7" t="n">
        <v>1.02</v>
      </c>
      <c r="J21" s="8" t="n">
        <v>13</v>
      </c>
      <c r="K21" s="8" t="n">
        <v>9.5</v>
      </c>
      <c r="L21" s="4" t="inlineStr">
        <is>
          <t>NORMAL</t>
        </is>
      </c>
      <c r="M21" s="9" t="n">
        <v>0.14</v>
      </c>
      <c r="N21" s="4">
        <f>IF(M21&lt;0.5,"+"&amp;ROUND((1-M21)/M21*100,0),"-"&amp;ROUND(M21/(1-M21)*100,0))</f>
        <v/>
      </c>
      <c r="O21" s="4" t="inlineStr">
        <is>
          <t>+480</t>
        </is>
      </c>
      <c r="P21" s="10">
        <f>IF(LEFT(O21,1)="+", M21*(VALUE(MID(O21,2,10))/100) - (1-M21), M21 - (1-M21)*(100/VALUE(MID(O21,2,10))))</f>
        <v/>
      </c>
      <c r="Q21" s="4" t="inlineStr">
        <is>
          <t>C+</t>
        </is>
      </c>
      <c r="R21" s="11" t="inlineStr">
        <is>
          <t>RvR neutral. Urena weak. Line short.</t>
        </is>
      </c>
    </row>
    <row r="22" ht="50" customHeight="1">
      <c r="A22" s="4" t="n">
        <v>18</v>
      </c>
      <c r="B22" s="13" t="inlineStr">
        <is>
          <t>PASS</t>
        </is>
      </c>
      <c r="C22" s="6" t="inlineStr">
        <is>
          <t>Brent Rooker</t>
        </is>
      </c>
      <c r="D22" s="4" t="inlineStr">
        <is>
          <t>ATH</t>
        </is>
      </c>
      <c r="E22" s="4" t="inlineStr">
        <is>
          <t>R</t>
        </is>
      </c>
      <c r="F22" s="4" t="inlineStr">
        <is>
          <t>TBD</t>
        </is>
      </c>
      <c r="G22" s="4" t="inlineStr">
        <is>
          <t>?</t>
        </is>
      </c>
      <c r="H22" s="4" t="inlineStr">
        <is>
          <t>Sutter Health Park</t>
        </is>
      </c>
      <c r="I22" s="7" t="n">
        <v>1.1</v>
      </c>
      <c r="J22" s="8" t="n">
        <v>12</v>
      </c>
      <c r="K22" s="8" t="n"/>
      <c r="L22" s="4" t="inlineStr">
        <is>
          <t>NORMAL</t>
        </is>
      </c>
      <c r="M22" s="9" t="n">
        <v>0.14</v>
      </c>
      <c r="N22" s="4">
        <f>IF(M22&lt;0.5,"+"&amp;ROUND((1-M22)/M22*100,0),"-"&amp;ROUND(M22/(1-M22)*100,0))</f>
        <v/>
      </c>
      <c r="O22" s="4" t="inlineStr">
        <is>
          <t>+440</t>
        </is>
      </c>
      <c r="P22" s="10">
        <f>IF(LEFT(O22,1)="+", M22*(VALUE(MID(O22,2,10))/100) - (1-M22), M22 - (1-M22)*(100/VALUE(MID(O22,2,10))))</f>
        <v/>
      </c>
      <c r="Q22" s="4" t="inlineStr">
        <is>
          <t>C</t>
        </is>
      </c>
      <c r="R22" s="11" t="inlineStr">
        <is>
          <t>Need CLE SP. Park boost helps but FD priced tight.</t>
        </is>
      </c>
    </row>
    <row r="23" ht="50" customHeight="1">
      <c r="A23" s="4" t="n">
        <v>19</v>
      </c>
      <c r="B23" s="13" t="inlineStr">
        <is>
          <t>PASS</t>
        </is>
      </c>
      <c r="C23" s="6" t="inlineStr">
        <is>
          <t>Riley Greene</t>
        </is>
      </c>
      <c r="D23" s="4" t="inlineStr">
        <is>
          <t>DET</t>
        </is>
      </c>
      <c r="E23" s="4" t="inlineStr">
        <is>
          <t>L</t>
        </is>
      </c>
      <c r="F23" s="4" t="inlineStr">
        <is>
          <t>TBD</t>
        </is>
      </c>
      <c r="G23" s="4" t="inlineStr">
        <is>
          <t>?</t>
        </is>
      </c>
      <c r="H23" s="4" t="inlineStr">
        <is>
          <t>Comerica Park</t>
        </is>
      </c>
      <c r="I23" s="7" t="n">
        <v>0.9399999999999999</v>
      </c>
      <c r="J23" s="8" t="n">
        <v>11</v>
      </c>
      <c r="K23" s="8" t="n"/>
      <c r="L23" s="4" t="inlineStr">
        <is>
          <t>NORMAL</t>
        </is>
      </c>
      <c r="M23" s="9" t="n">
        <v>0.11</v>
      </c>
      <c r="N23" s="4">
        <f>IF(M23&lt;0.5,"+"&amp;ROUND((1-M23)/M23*100,0),"-"&amp;ROUND(M23/(1-M23)*100,0))</f>
        <v/>
      </c>
      <c r="O23" s="4" t="inlineStr">
        <is>
          <t>+520</t>
        </is>
      </c>
      <c r="P23" s="10">
        <f>IF(LEFT(O23,1)="+", M23*(VALUE(MID(O23,2,10))/100) - (1-M23), M23 - (1-M23)*(100/VALUE(MID(O23,2,10))))</f>
        <v/>
      </c>
      <c r="Q23" s="4" t="inlineStr">
        <is>
          <t>C</t>
        </is>
      </c>
      <c r="R23" s="11" t="inlineStr">
        <is>
          <t>Need TEX SP. Comerica HR-suppressing.</t>
        </is>
      </c>
    </row>
    <row r="24" ht="50" customHeight="1">
      <c r="A24" s="4" t="n">
        <v>20</v>
      </c>
      <c r="B24" s="13" t="inlineStr">
        <is>
          <t>PASS</t>
        </is>
      </c>
      <c r="C24" s="6" t="inlineStr">
        <is>
          <t>Bryce Harper</t>
        </is>
      </c>
      <c r="D24" s="4" t="inlineStr">
        <is>
          <t>PHI</t>
        </is>
      </c>
      <c r="E24" s="4" t="inlineStr">
        <is>
          <t>L</t>
        </is>
      </c>
      <c r="F24" s="4" t="inlineStr">
        <is>
          <t>TBD</t>
        </is>
      </c>
      <c r="G24" s="4" t="inlineStr">
        <is>
          <t>?</t>
        </is>
      </c>
      <c r="H24" s="4" t="inlineStr">
        <is>
          <t>loanDepot park</t>
        </is>
      </c>
      <c r="I24" s="7" t="n">
        <v>0.96</v>
      </c>
      <c r="J24" s="8" t="n">
        <v>12</v>
      </c>
      <c r="K24" s="8" t="n"/>
      <c r="L24" s="4" t="inlineStr">
        <is>
          <t>NORMAL</t>
        </is>
      </c>
      <c r="M24" s="9" t="n">
        <v>0.14</v>
      </c>
      <c r="N24" s="4">
        <f>IF(M24&lt;0.5,"+"&amp;ROUND((1-M24)/M24*100,0),"-"&amp;ROUND(M24/(1-M24)*100,0))</f>
        <v/>
      </c>
      <c r="O24" s="4" t="inlineStr">
        <is>
          <t>+440</t>
        </is>
      </c>
      <c r="P24" s="10">
        <f>IF(LEFT(O24,1)="+", M24*(VALUE(MID(O24,2,10))/100) - (1-M24), M24 - (1-M24)*(100/VALUE(MID(O24,2,10))))</f>
        <v/>
      </c>
      <c r="Q24" s="4" t="inlineStr">
        <is>
          <t>C</t>
        </is>
      </c>
      <c r="R24" s="11" t="inlineStr">
        <is>
          <t>Need MIA SP. loanDepot suppresses HRs.</t>
        </is>
      </c>
    </row>
    <row r="25" ht="50" customHeight="1">
      <c r="A25" s="4" t="n">
        <v>21</v>
      </c>
      <c r="B25" s="13" t="inlineStr">
        <is>
          <t>PASS</t>
        </is>
      </c>
      <c r="C25" s="6" t="inlineStr">
        <is>
          <t>Kyle Schwarber</t>
        </is>
      </c>
      <c r="D25" s="4" t="inlineStr">
        <is>
          <t>PHI</t>
        </is>
      </c>
      <c r="E25" s="4" t="inlineStr">
        <is>
          <t>L</t>
        </is>
      </c>
      <c r="F25" s="4" t="inlineStr">
        <is>
          <t>TBD</t>
        </is>
      </c>
      <c r="G25" s="4" t="inlineStr">
        <is>
          <t>?</t>
        </is>
      </c>
      <c r="H25" s="4" t="inlineStr">
        <is>
          <t>loanDepot park</t>
        </is>
      </c>
      <c r="I25" s="7" t="n">
        <v>0.96</v>
      </c>
      <c r="J25" s="8" t="n">
        <v>13</v>
      </c>
      <c r="K25" s="8" t="n"/>
      <c r="L25" s="4" t="inlineStr">
        <is>
          <t>NORMAL</t>
        </is>
      </c>
      <c r="M25" s="9" t="n">
        <v>0.16</v>
      </c>
      <c r="N25" s="4">
        <f>IF(M25&lt;0.5,"+"&amp;ROUND((1-M25)/M25*100,0),"-"&amp;ROUND(M25/(1-M25)*100,0))</f>
        <v/>
      </c>
      <c r="O25" s="4" t="inlineStr">
        <is>
          <t>+380</t>
        </is>
      </c>
      <c r="P25" s="10">
        <f>IF(LEFT(O25,1)="+", M25*(VALUE(MID(O25,2,10))/100) - (1-M25), M25 - (1-M25)*(100/VALUE(MID(O25,2,10))))</f>
        <v/>
      </c>
      <c r="Q25" s="4" t="inlineStr">
        <is>
          <t>C</t>
        </is>
      </c>
      <c r="R25" s="11" t="inlineStr">
        <is>
          <t>Need MIA SP. Schwarber three-true-outcomes player. Park suppresses.</t>
        </is>
      </c>
    </row>
    <row r="26" ht="50" customHeight="1">
      <c r="A26" s="4" t="n">
        <v>22</v>
      </c>
      <c r="B26" s="13" t="inlineStr">
        <is>
          <t>PASS</t>
        </is>
      </c>
      <c r="C26" s="6" t="inlineStr">
        <is>
          <t>Shohei Ohtani</t>
        </is>
      </c>
      <c r="D26" s="4" t="inlineStr">
        <is>
          <t>LAD</t>
        </is>
      </c>
      <c r="E26" s="4" t="inlineStr">
        <is>
          <t>L</t>
        </is>
      </c>
      <c r="F26" s="4" t="inlineStr">
        <is>
          <t>TBD</t>
        </is>
      </c>
      <c r="G26" s="4" t="inlineStr">
        <is>
          <t>?</t>
        </is>
      </c>
      <c r="H26" s="4" t="inlineStr">
        <is>
          <t>Busch Stadium</t>
        </is>
      </c>
      <c r="I26" s="7" t="n">
        <v>0.92</v>
      </c>
      <c r="J26" s="8" t="n">
        <v>13</v>
      </c>
      <c r="K26" s="8" t="n"/>
      <c r="L26" s="4" t="inlineStr">
        <is>
          <t>NORMAL</t>
        </is>
      </c>
      <c r="M26" s="9" t="n">
        <v>0.18</v>
      </c>
      <c r="N26" s="4">
        <f>IF(M26&lt;0.5,"+"&amp;ROUND((1-M26)/M26*100,0),"-"&amp;ROUND(M26/(1-M26)*100,0))</f>
        <v/>
      </c>
      <c r="O26" s="4" t="inlineStr">
        <is>
          <t>+280</t>
        </is>
      </c>
      <c r="P26" s="10">
        <f>IF(LEFT(O26,1)="+", M26*(VALUE(MID(O26,2,10))/100) - (1-M26), M26 - (1-M26)*(100/VALUE(MID(O26,2,10))))</f>
        <v/>
      </c>
      <c r="Q26" s="4" t="inlineStr">
        <is>
          <t>B-</t>
        </is>
      </c>
      <c r="R26" s="11" t="inlineStr">
        <is>
          <t>Need STL SP. Busch Stadium suppresses HRs. Public-name premium kills value.</t>
        </is>
      </c>
    </row>
    <row r="27" ht="50" customHeight="1">
      <c r="A27" s="4" t="n">
        <v>23</v>
      </c>
      <c r="B27" s="13" t="inlineStr">
        <is>
          <t>PASS</t>
        </is>
      </c>
      <c r="C27" s="6" t="inlineStr">
        <is>
          <t>Mookie Betts</t>
        </is>
      </c>
      <c r="D27" s="4" t="inlineStr">
        <is>
          <t>LAD</t>
        </is>
      </c>
      <c r="E27" s="4" t="inlineStr">
        <is>
          <t>R</t>
        </is>
      </c>
      <c r="F27" s="4" t="inlineStr">
        <is>
          <t>TBD</t>
        </is>
      </c>
      <c r="G27" s="4" t="inlineStr">
        <is>
          <t>?</t>
        </is>
      </c>
      <c r="H27" s="4" t="inlineStr">
        <is>
          <t>Busch Stadium</t>
        </is>
      </c>
      <c r="I27" s="7" t="n">
        <v>0.92</v>
      </c>
      <c r="J27" s="8" t="n">
        <v>11</v>
      </c>
      <c r="K27" s="8" t="n"/>
      <c r="L27" s="4" t="inlineStr">
        <is>
          <t>NORMAL</t>
        </is>
      </c>
      <c r="M27" s="9" t="n">
        <v>0.13</v>
      </c>
      <c r="N27" s="4">
        <f>IF(M27&lt;0.5,"+"&amp;ROUND((1-M27)/M27*100,0),"-"&amp;ROUND(M27/(1-M27)*100,0))</f>
        <v/>
      </c>
      <c r="O27" s="4" t="inlineStr">
        <is>
          <t>+450</t>
        </is>
      </c>
      <c r="P27" s="10">
        <f>IF(LEFT(O27,1)="+", M27*(VALUE(MID(O27,2,10))/100) - (1-M27), M27 - (1-M27)*(100/VALUE(MID(O27,2,10))))</f>
        <v/>
      </c>
      <c r="Q27" s="4" t="inlineStr">
        <is>
          <t>C</t>
        </is>
      </c>
      <c r="R27" s="11" t="inlineStr">
        <is>
          <t>Park kills RHB HRs in STL. Skip.</t>
        </is>
      </c>
    </row>
    <row r="28" ht="50" customHeight="1">
      <c r="A28" s="4" t="n">
        <v>24</v>
      </c>
      <c r="B28" s="13" t="inlineStr">
        <is>
          <t>PASS</t>
        </is>
      </c>
      <c r="C28" s="6" t="inlineStr">
        <is>
          <t>Adley Rutschman</t>
        </is>
      </c>
      <c r="D28" s="4" t="inlineStr">
        <is>
          <t>BAL</t>
        </is>
      </c>
      <c r="E28" s="4" t="inlineStr">
        <is>
          <t>S</t>
        </is>
      </c>
      <c r="F28" s="4" t="inlineStr">
        <is>
          <t>Will Warren</t>
        </is>
      </c>
      <c r="G28" s="4" t="inlineStr">
        <is>
          <t>R</t>
        </is>
      </c>
      <c r="H28" s="4" t="inlineStr">
        <is>
          <t>Yankee Stadium</t>
        </is>
      </c>
      <c r="I28" s="7" t="n">
        <v>1.05</v>
      </c>
      <c r="J28" s="8" t="n">
        <v>9</v>
      </c>
      <c r="K28" s="8" t="n">
        <v>8.5</v>
      </c>
      <c r="L28" s="4" t="inlineStr">
        <is>
          <t>NORMAL</t>
        </is>
      </c>
      <c r="M28" s="9" t="n">
        <v>0.13</v>
      </c>
      <c r="N28" s="4">
        <f>IF(M28&lt;0.5,"+"&amp;ROUND((1-M28)/M28*100,0),"-"&amp;ROUND(M28/(1-M28)*100,0))</f>
        <v/>
      </c>
      <c r="O28" s="4" t="inlineStr">
        <is>
          <t>+550</t>
        </is>
      </c>
      <c r="P28" s="10">
        <f>IF(LEFT(O28,1)="+", M28*(VALUE(MID(O28,2,10))/100) - (1-M28), M28 - (1-M28)*(100/VALUE(MID(O28,2,10))))</f>
        <v/>
      </c>
      <c r="Q28" s="4" t="inlineStr">
        <is>
          <t>C+</t>
        </is>
      </c>
      <c r="R28" s="11" t="inlineStr">
        <is>
          <t>Bats L vs RHP. Yankee Stadium LHB short porch. But Warren has been good (3-0). Modest pass.</t>
        </is>
      </c>
    </row>
    <row r="29" ht="50" customHeight="1">
      <c r="A29" s="4" t="n">
        <v>25</v>
      </c>
      <c r="B29" s="13" t="inlineStr">
        <is>
          <t>PASS</t>
        </is>
      </c>
      <c r="C29" s="6" t="inlineStr">
        <is>
          <t>Gunnar Henderson</t>
        </is>
      </c>
      <c r="D29" s="4" t="inlineStr">
        <is>
          <t>BAL</t>
        </is>
      </c>
      <c r="E29" s="4" t="inlineStr">
        <is>
          <t>L</t>
        </is>
      </c>
      <c r="F29" s="4" t="inlineStr">
        <is>
          <t>Will Warren</t>
        </is>
      </c>
      <c r="G29" s="4" t="inlineStr">
        <is>
          <t>R</t>
        </is>
      </c>
      <c r="H29" s="4" t="inlineStr">
        <is>
          <t>Yankee Stadium</t>
        </is>
      </c>
      <c r="I29" s="7" t="n">
        <v>1.05</v>
      </c>
      <c r="J29" s="8" t="n">
        <v>12</v>
      </c>
      <c r="K29" s="8" t="n">
        <v>8.5</v>
      </c>
      <c r="L29" s="4" t="inlineStr">
        <is>
          <t>NORMAL</t>
        </is>
      </c>
      <c r="M29" s="9" t="n">
        <v>0.18</v>
      </c>
      <c r="N29" s="4">
        <f>IF(M29&lt;0.5,"+"&amp;ROUND((1-M29)/M29*100,0),"-"&amp;ROUND(M29/(1-M29)*100,0))</f>
        <v/>
      </c>
      <c r="O29" s="4" t="inlineStr">
        <is>
          <t>+360</t>
        </is>
      </c>
      <c r="P29" s="10">
        <f>IF(LEFT(O29,1)="+", M29*(VALUE(MID(O29,2,10))/100) - (1-M29), M29 - (1-M29)*(100/VALUE(MID(O29,2,10))))</f>
        <v/>
      </c>
      <c r="Q29" s="4" t="inlineStr">
        <is>
          <t>B</t>
        </is>
      </c>
      <c r="R29" s="11" t="inlineStr">
        <is>
          <t>Henderson elite vs RHP. Yankee Stadium LHB-friendly. But Warren 3-0 form is strong and FD priced it short.</t>
        </is>
      </c>
    </row>
    <row r="30" ht="50" customHeight="1">
      <c r="A30" s="4" t="n">
        <v>26</v>
      </c>
      <c r="B30" s="13" t="inlineStr">
        <is>
          <t>PASS</t>
        </is>
      </c>
      <c r="C30" s="6" t="inlineStr">
        <is>
          <t>Kerry Carpenter</t>
        </is>
      </c>
      <c r="D30" s="4" t="inlineStr">
        <is>
          <t>DET</t>
        </is>
      </c>
      <c r="E30" s="4" t="inlineStr">
        <is>
          <t>L</t>
        </is>
      </c>
      <c r="F30" s="4" t="inlineStr">
        <is>
          <t>TBD</t>
        </is>
      </c>
      <c r="G30" s="4" t="inlineStr">
        <is>
          <t>?</t>
        </is>
      </c>
      <c r="H30" s="4" t="inlineStr">
        <is>
          <t>Comerica Park</t>
        </is>
      </c>
      <c r="I30" s="7" t="n">
        <v>0.9399999999999999</v>
      </c>
      <c r="J30" s="8" t="n">
        <v>12</v>
      </c>
      <c r="K30" s="8" t="n"/>
      <c r="L30" s="4" t="inlineStr">
        <is>
          <t>NORMAL</t>
        </is>
      </c>
      <c r="M30" s="9" t="n">
        <v>0.13</v>
      </c>
      <c r="N30" s="4">
        <f>IF(M30&lt;0.5,"+"&amp;ROUND((1-M30)/M30*100,0),"-"&amp;ROUND(M30/(1-M30)*100,0))</f>
        <v/>
      </c>
      <c r="O30" s="4" t="inlineStr">
        <is>
          <t>+520</t>
        </is>
      </c>
      <c r="P30" s="10">
        <f>IF(LEFT(O30,1)="+", M30*(VALUE(MID(O30,2,10))/100) - (1-M30), M30 - (1-M30)*(100/VALUE(MID(O30,2,10))))</f>
        <v/>
      </c>
      <c r="Q30" s="4" t="inlineStr">
        <is>
          <t>C</t>
        </is>
      </c>
      <c r="R30" s="11" t="inlineStr">
        <is>
          <t>LHB power. Need TEX SP. Comerica suppresses.</t>
        </is>
      </c>
    </row>
    <row r="31" ht="50" customHeight="1">
      <c r="A31" s="4" t="n">
        <v>27</v>
      </c>
      <c r="B31" s="13" t="inlineStr">
        <is>
          <t>PASS</t>
        </is>
      </c>
      <c r="C31" s="6" t="inlineStr">
        <is>
          <t>James Wood</t>
        </is>
      </c>
      <c r="D31" s="4" t="inlineStr">
        <is>
          <t>WSH</t>
        </is>
      </c>
      <c r="E31" s="4" t="inlineStr">
        <is>
          <t>L</t>
        </is>
      </c>
      <c r="F31" s="4" t="inlineStr">
        <is>
          <t>TBD</t>
        </is>
      </c>
      <c r="G31" s="4" t="inlineStr">
        <is>
          <t>?</t>
        </is>
      </c>
      <c r="H31" s="4" t="inlineStr">
        <is>
          <t>Nationals Park</t>
        </is>
      </c>
      <c r="I31" s="7" t="n">
        <v>1.04</v>
      </c>
      <c r="J31" s="8" t="n">
        <v>14.2</v>
      </c>
      <c r="K31" s="8" t="n"/>
      <c r="L31" s="4" t="inlineStr">
        <is>
          <t>NORMAL</t>
        </is>
      </c>
      <c r="M31" s="9" t="n">
        <v>0.18</v>
      </c>
      <c r="N31" s="4">
        <f>IF(M31&lt;0.5,"+"&amp;ROUND((1-M31)/M31*100,0),"-"&amp;ROUND(M31/(1-M31)*100,0))</f>
        <v/>
      </c>
      <c r="O31" s="4" t="inlineStr">
        <is>
          <t>+340</t>
        </is>
      </c>
      <c r="P31" s="10">
        <f>IF(LEFT(O31,1)="+", M31*(VALUE(MID(O31,2,10))/100) - (1-M31), M31 - (1-M31)*(100/VALUE(MID(O31,2,10))))</f>
        <v/>
      </c>
      <c r="Q31" s="4" t="inlineStr">
        <is>
          <t>B-</t>
        </is>
      </c>
      <c r="R31" s="11" t="inlineStr">
        <is>
          <t>Wood top-5 barrel% MLB. Need MIL SP. FD priced too tight on his hot stretch.</t>
        </is>
      </c>
    </row>
    <row r="32" ht="50" customHeight="1">
      <c r="A32" s="4" t="n">
        <v>28</v>
      </c>
      <c r="B32" s="13" t="inlineStr">
        <is>
          <t>PASS</t>
        </is>
      </c>
      <c r="C32" s="6" t="inlineStr">
        <is>
          <t>Anthony Volpe</t>
        </is>
      </c>
      <c r="D32" s="4" t="inlineStr">
        <is>
          <t>NYY</t>
        </is>
      </c>
      <c r="E32" s="4" t="inlineStr">
        <is>
          <t>R</t>
        </is>
      </c>
      <c r="F32" s="4" t="inlineStr">
        <is>
          <t>Cade Povich</t>
        </is>
      </c>
      <c r="G32" s="4" t="inlineStr">
        <is>
          <t>L</t>
        </is>
      </c>
      <c r="H32" s="4" t="inlineStr">
        <is>
          <t>Yankee Stadium</t>
        </is>
      </c>
      <c r="I32" s="7" t="n">
        <v>1.12</v>
      </c>
      <c r="J32" s="8" t="n">
        <v>9</v>
      </c>
      <c r="K32" s="8" t="n">
        <v>9.5</v>
      </c>
      <c r="L32" s="4" t="inlineStr">
        <is>
          <t>NORMAL</t>
        </is>
      </c>
      <c r="M32" s="9" t="n">
        <v>0.11</v>
      </c>
      <c r="N32" s="4">
        <f>IF(M32&lt;0.5,"+"&amp;ROUND((1-M32)/M32*100,0),"-"&amp;ROUND(M32/(1-M32)*100,0))</f>
        <v/>
      </c>
      <c r="O32" s="4" t="inlineStr">
        <is>
          <t>+580</t>
        </is>
      </c>
      <c r="P32" s="10">
        <f>IF(LEFT(O32,1)="+", M32*(VALUE(MID(O32,2,10))/100) - (1-M32), M32 - (1-M32)*(100/VALUE(MID(O32,2,10))))</f>
        <v/>
      </c>
      <c r="Q32" s="4" t="inlineStr">
        <is>
          <t>C</t>
        </is>
      </c>
      <c r="R32" s="11" t="inlineStr">
        <is>
          <t>RvL platoon at YS. Lineup spot 9 = fewer PAs. Skip.</t>
        </is>
      </c>
    </row>
    <row r="33" ht="50" customHeight="1">
      <c r="A33" s="4" t="n">
        <v>29</v>
      </c>
      <c r="B33" s="13" t="inlineStr">
        <is>
          <t>PASS</t>
        </is>
      </c>
      <c r="C33" s="6" t="inlineStr">
        <is>
          <t>Giancarlo Stanton</t>
        </is>
      </c>
      <c r="D33" s="4" t="inlineStr">
        <is>
          <t>NYY</t>
        </is>
      </c>
      <c r="E33" s="4" t="inlineStr">
        <is>
          <t>R</t>
        </is>
      </c>
      <c r="F33" s="4" t="inlineStr">
        <is>
          <t>Cade Povich</t>
        </is>
      </c>
      <c r="G33" s="4" t="inlineStr">
        <is>
          <t>L</t>
        </is>
      </c>
      <c r="H33" s="4" t="inlineStr">
        <is>
          <t>Yankee Stadium</t>
        </is>
      </c>
      <c r="I33" s="7" t="n">
        <v>1.12</v>
      </c>
      <c r="J33" s="8" t="n">
        <v>14</v>
      </c>
      <c r="K33" s="8" t="n">
        <v>9.5</v>
      </c>
      <c r="L33" s="4" t="inlineStr">
        <is>
          <t>NORMAL</t>
        </is>
      </c>
      <c r="M33" s="9" t="n">
        <v>0.16</v>
      </c>
      <c r="N33" s="4">
        <f>IF(M33&lt;0.5,"+"&amp;ROUND((1-M33)/M33*100,0),"-"&amp;ROUND(M33/(1-M33)*100,0))</f>
        <v/>
      </c>
      <c r="O33" s="4" t="inlineStr">
        <is>
          <t>+360</t>
        </is>
      </c>
      <c r="P33" s="10">
        <f>IF(LEFT(O33,1)="+", M33*(VALUE(MID(O33,2,10))/100) - (1-M33), M33 - (1-M33)*(100/VALUE(MID(O33,2,10))))</f>
        <v/>
      </c>
      <c r="Q33" s="4" t="inlineStr">
        <is>
          <t>C+</t>
        </is>
      </c>
      <c r="R33" s="11" t="inlineStr">
        <is>
          <t>RvL platoon at YS, Stanton 14% barrel%. But FD priced him on his name and YS reputation. Pass at +360.</t>
        </is>
      </c>
    </row>
  </sheetData>
  <mergeCells count="2">
    <mergeCell ref="A2:Q2"/>
    <mergeCell ref="A1:Q1"/>
  </mergeCells>
  <conditionalFormatting sqref="P5:P33">
    <cfRule type="cellIs" priority="1" operator="greaterThanOrEqual" dxfId="0">
      <formula>0.05</formula>
    </cfRule>
    <cfRule type="cellIs" priority="2" operator="between" dxfId="1">
      <formula>0</formula>
      <formula>0.0499</formula>
    </cfRule>
    <cfRule type="cellIs" priority="3" operator="lessThan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7" customWidth="1" min="4" max="4"/>
    <col width="22" customWidth="1" min="5" max="5"/>
    <col width="18" customWidth="1" min="6" max="6"/>
    <col width="8" customWidth="1" min="7" max="7"/>
    <col width="12" customWidth="1" min="8" max="8"/>
    <col width="5" customWidth="1" min="9" max="9"/>
    <col width="12" customWidth="1" min="10" max="10"/>
    <col width="11" customWidth="1" min="11" max="11"/>
    <col width="11" customWidth="1" min="12" max="12"/>
    <col width="9" customWidth="1" min="13" max="13"/>
    <col width="7" customWidth="1" min="14" max="14"/>
    <col width="60" customWidth="1" min="15" max="15"/>
  </cols>
  <sheetData>
    <row r="1">
      <c r="A1" s="1" t="inlineStr">
        <is>
          <t>Top 15 +EV Single HR Bets — Model v2 vs FanDuel</t>
        </is>
      </c>
    </row>
    <row r="2">
      <c r="A2" s="2" t="inlineStr">
        <is>
          <t>Sorted by EV. ⇄ marks reverse-split matchups (model overrides naive L/R platoon).</t>
        </is>
      </c>
    </row>
    <row r="4" ht="36" customHeight="1">
      <c r="A4" s="3" t="inlineStr">
        <is>
          <t>Rank</t>
        </is>
      </c>
      <c r="B4" s="3" t="inlineStr">
        <is>
          <t>Action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Opp Pitcher</t>
        </is>
      </c>
      <c r="F4" s="3" t="inlineStr">
        <is>
          <t>Park</t>
        </is>
      </c>
      <c r="G4" s="3" t="inlineStr">
        <is>
          <t>H Brl%</t>
        </is>
      </c>
      <c r="H4" s="3" t="inlineStr">
        <is>
          <t>SP Brl% Allow</t>
        </is>
      </c>
      <c r="I4" s="3" t="inlineStr">
        <is>
          <t>Rev</t>
        </is>
      </c>
      <c r="J4" s="3" t="inlineStr">
        <is>
          <t>Model P(HR)</t>
        </is>
      </c>
      <c r="K4" s="3" t="inlineStr">
        <is>
          <t>Fair Odds</t>
        </is>
      </c>
      <c r="L4" s="3" t="inlineStr">
        <is>
          <t>FD Odds</t>
        </is>
      </c>
      <c r="M4" s="3" t="inlineStr">
        <is>
          <t>EV %</t>
        </is>
      </c>
      <c r="N4" s="3" t="inlineStr">
        <is>
          <t>Conf</t>
        </is>
      </c>
      <c r="O4" s="3" t="inlineStr">
        <is>
          <t>Why</t>
        </is>
      </c>
    </row>
    <row r="5" ht="56" customHeight="1">
      <c r="A5" s="4" t="n">
        <v>1</v>
      </c>
      <c r="B5" s="5" t="inlineStr">
        <is>
          <t>BET</t>
        </is>
      </c>
      <c r="C5" s="6" t="inlineStr">
        <is>
          <t>Ozzie Albies</t>
        </is>
      </c>
      <c r="D5" s="4" t="inlineStr">
        <is>
          <t>ATL</t>
        </is>
      </c>
      <c r="E5" s="4" t="inlineStr">
        <is>
          <t>Jose Quintana</t>
        </is>
      </c>
      <c r="F5" s="4" t="inlineStr">
        <is>
          <t>Coors Field</t>
        </is>
      </c>
      <c r="G5" s="8" t="n">
        <v>9.5</v>
      </c>
      <c r="H5" s="8" t="n">
        <v>9</v>
      </c>
      <c r="I5" s="4" t="inlineStr"/>
      <c r="J5" s="9" t="n">
        <v>0.24</v>
      </c>
      <c r="K5" s="4">
        <f>IF(J5&lt;0.5,"+"&amp;ROUND((1-J5)/J5*100,0),"-"&amp;ROUND(J5/(1-J5)*100,0))</f>
        <v/>
      </c>
      <c r="L5" s="4" t="inlineStr">
        <is>
          <t>+490</t>
        </is>
      </c>
      <c r="M5" s="10">
        <f>IF(LEFT(L5,1)="+", J5*(VALUE(MID(L5,2,10))/100) - (1-J5), J5 - (1-J5)*(100/VALUE(MID(L5,2,10))))</f>
        <v/>
      </c>
      <c r="N5" s="4" t="inlineStr">
        <is>
          <t>A</t>
        </is>
      </c>
      <c r="O5" s="11" t="inlineStr">
        <is>
          <t>INSANE career edge: Albies 9-for-19 with 3 HR off Quintana for 1.553 OPS. Switch hitter bats R vs LHP. Coors HR factor 1.30. Quintana 4.91 ERA, 1.53 WHIP, weak form. Top play of the day.</t>
        </is>
      </c>
    </row>
    <row r="6" ht="56" customHeight="1">
      <c r="A6" s="4" t="n">
        <v>2</v>
      </c>
      <c r="B6" s="5" t="inlineStr">
        <is>
          <t>BET</t>
        </is>
      </c>
      <c r="C6" s="6" t="inlineStr">
        <is>
          <t>Hunter Goodman</t>
        </is>
      </c>
      <c r="D6" s="4" t="inlineStr">
        <is>
          <t>COL</t>
        </is>
      </c>
      <c r="E6" s="4" t="inlineStr">
        <is>
          <t>Grant Holmes</t>
        </is>
      </c>
      <c r="F6" s="4" t="inlineStr">
        <is>
          <t>Coors Field</t>
        </is>
      </c>
      <c r="G6" s="8" t="n">
        <v>11.5</v>
      </c>
      <c r="H6" s="8" t="n">
        <v>8</v>
      </c>
      <c r="I6" s="4" t="inlineStr"/>
      <c r="J6" s="9" t="n">
        <v>0.22</v>
      </c>
      <c r="K6" s="4">
        <f>IF(J6&lt;0.5,"+"&amp;ROUND((1-J6)/J6*100,0),"-"&amp;ROUND(J6/(1-J6)*100,0))</f>
        <v/>
      </c>
      <c r="L6" s="4" t="inlineStr">
        <is>
          <t>+470</t>
        </is>
      </c>
      <c r="M6" s="10">
        <f>IF(LEFT(L6,1)="+", J6*(VALUE(MID(L6,2,10))/100) - (1-J6), J6 - (1-J6)*(100/VALUE(MID(L6,2,10))))</f>
        <v/>
      </c>
      <c r="N6" s="4" t="inlineStr">
        <is>
          <t>A-</t>
        </is>
      </c>
      <c r="O6" s="11" t="inlineStr">
        <is>
          <t>Goodman 9 HR in 29 G (24.1% rate), elite Coors home power. Holmes is decent (3.62 ERA) but Coors HR factor 1.30 dominates. RvR platoon neutral but park overrides.</t>
        </is>
      </c>
    </row>
    <row r="7" ht="56" customHeight="1">
      <c r="A7" s="4" t="n">
        <v>3</v>
      </c>
      <c r="B7" s="12" t="inlineStr">
        <is>
          <t>MONITOR</t>
        </is>
      </c>
      <c r="C7" s="6" t="inlineStr">
        <is>
          <t>Drake Baldwin</t>
        </is>
      </c>
      <c r="D7" s="4" t="inlineStr">
        <is>
          <t>ATL</t>
        </is>
      </c>
      <c r="E7" s="4" t="inlineStr">
        <is>
          <t>Jose Quintana</t>
        </is>
      </c>
      <c r="F7" s="4" t="inlineStr">
        <is>
          <t>Coors Field</t>
        </is>
      </c>
      <c r="G7" s="8" t="n">
        <v>12</v>
      </c>
      <c r="H7" s="8" t="n">
        <v>9</v>
      </c>
      <c r="I7" s="4" t="inlineStr"/>
      <c r="J7" s="9" t="n">
        <v>0.17</v>
      </c>
      <c r="K7" s="4">
        <f>IF(J7&lt;0.5,"+"&amp;ROUND((1-J7)/J7*100,0),"-"&amp;ROUND(J7/(1-J7)*100,0))</f>
        <v/>
      </c>
      <c r="L7" s="4" t="inlineStr">
        <is>
          <t>+490</t>
        </is>
      </c>
      <c r="M7" s="10">
        <f>IF(LEFT(L7,1)="+", J7*(VALUE(MID(L7,2,10))/100) - (1-J7), J7 - (1-J7)*(100/VALUE(MID(L7,2,10))))</f>
        <v/>
      </c>
      <c r="N7" s="4" t="inlineStr">
        <is>
          <t>B-</t>
        </is>
      </c>
      <c r="O7" s="11" t="inlineStr">
        <is>
          <t>Baldwin 7 HR in 32 G (21.9% rate). LvL unfavorable but Coors HR factor 1.30 helps and Quintana weak. Flat EV — coin flip.</t>
        </is>
      </c>
    </row>
    <row r="8" ht="56" customHeight="1">
      <c r="A8" s="4" t="n">
        <v>4</v>
      </c>
      <c r="B8" s="13" t="inlineStr">
        <is>
          <t>PASS</t>
        </is>
      </c>
      <c r="C8" s="6" t="inlineStr">
        <is>
          <t>Sal Stewart</t>
        </is>
      </c>
      <c r="D8" s="4" t="inlineStr">
        <is>
          <t>CIN</t>
        </is>
      </c>
      <c r="E8" s="4" t="inlineStr">
        <is>
          <t>Mitch Keller</t>
        </is>
      </c>
      <c r="F8" s="4" t="inlineStr">
        <is>
          <t>PNC Park</t>
        </is>
      </c>
      <c r="G8" s="8" t="n">
        <v>14.8</v>
      </c>
      <c r="H8" s="8" t="n">
        <v>8.5</v>
      </c>
      <c r="I8" s="4" t="inlineStr"/>
      <c r="J8" s="9" t="n">
        <v>0.16</v>
      </c>
      <c r="K8" s="4">
        <f>IF(J8&lt;0.5,"+"&amp;ROUND((1-J8)/J8*100,0),"-"&amp;ROUND(J8/(1-J8)*100,0))</f>
        <v/>
      </c>
      <c r="L8" s="4" t="inlineStr">
        <is>
          <t>+520</t>
        </is>
      </c>
      <c r="M8" s="10">
        <f>IF(LEFT(L8,1)="+", J8*(VALUE(MID(L8,2,10))/100) - (1-J8), J8 - (1-J8)*(100/VALUE(MID(L8,2,10))))</f>
        <v/>
      </c>
      <c r="N8" s="4" t="inlineStr">
        <is>
          <t>B</t>
        </is>
      </c>
      <c r="O8" s="11" t="inlineStr">
        <is>
          <t>Stewart 14.8% barrel% (top-5 MLB). RvR neutral. PNC suppresses RHB HRs (factor 0.85). Almost flat EV — close call but slightly under.</t>
        </is>
      </c>
    </row>
    <row r="9" ht="56" customHeight="1">
      <c r="A9" s="4" t="n">
        <v>5</v>
      </c>
      <c r="B9" s="12" t="inlineStr">
        <is>
          <t>MONITOR</t>
        </is>
      </c>
      <c r="C9" s="6" t="inlineStr">
        <is>
          <t>Juan Soto</t>
        </is>
      </c>
      <c r="D9" s="4" t="inlineStr">
        <is>
          <t>NYM</t>
        </is>
      </c>
      <c r="E9" s="4" t="inlineStr">
        <is>
          <t>Walbert Urena</t>
        </is>
      </c>
      <c r="F9" s="4" t="inlineStr">
        <is>
          <t>Angel Stadium</t>
        </is>
      </c>
      <c r="G9" s="8" t="n">
        <v>13</v>
      </c>
      <c r="H9" s="8" t="n">
        <v>9.5</v>
      </c>
      <c r="I9" s="4" t="inlineStr"/>
      <c r="J9" s="9" t="n">
        <v>0.2</v>
      </c>
      <c r="K9" s="4">
        <f>IF(J9&lt;0.5,"+"&amp;ROUND((1-J9)/J9*100,0),"-"&amp;ROUND(J9/(1-J9)*100,0))</f>
        <v/>
      </c>
      <c r="L9" s="4" t="inlineStr">
        <is>
          <t>+370</t>
        </is>
      </c>
      <c r="M9" s="10">
        <f>IF(LEFT(L9,1)="+", J9*(VALUE(MID(L9,2,10))/100) - (1-J9), J9 - (1-J9)*(100/VALUE(MID(L9,2,10))))</f>
        <v/>
      </c>
      <c r="N9" s="4" t="inlineStr">
        <is>
          <t>B+</t>
        </is>
      </c>
      <c r="O9" s="11" t="inlineStr">
        <is>
          <t>Soto hot — .412 BA, 2 HR last 5 games. LvR favorable. Urena 0-3 with 4.76 ERA — weak form. Marginal -EV at +370 — wait for +420.</t>
        </is>
      </c>
    </row>
    <row r="10" ht="56" customHeight="1">
      <c r="A10" s="4" t="n">
        <v>6</v>
      </c>
      <c r="B10" s="12" t="inlineStr">
        <is>
          <t>MONITOR</t>
        </is>
      </c>
      <c r="C10" s="6" t="inlineStr">
        <is>
          <t>Elly De La Cruz</t>
        </is>
      </c>
      <c r="D10" s="4" t="inlineStr">
        <is>
          <t>CIN</t>
        </is>
      </c>
      <c r="E10" s="4" t="inlineStr">
        <is>
          <t>Mitch Keller</t>
        </is>
      </c>
      <c r="F10" s="4" t="inlineStr">
        <is>
          <t>PNC Park</t>
        </is>
      </c>
      <c r="G10" s="8" t="n">
        <v>13.5</v>
      </c>
      <c r="H10" s="8" t="n">
        <v>8.5</v>
      </c>
      <c r="I10" s="4" t="inlineStr"/>
      <c r="J10" s="9" t="n">
        <v>0.18</v>
      </c>
      <c r="K10" s="4">
        <f>IF(J10&lt;0.5,"+"&amp;ROUND((1-J10)/J10*100,0),"-"&amp;ROUND(J10/(1-J10)*100,0))</f>
        <v/>
      </c>
      <c r="L10" s="4" t="inlineStr">
        <is>
          <t>+420</t>
        </is>
      </c>
      <c r="M10" s="10">
        <f>IF(LEFT(L10,1)="+", J10*(VALUE(MID(L10,2,10))/100) - (1-J10), J10 - (1-J10)*(100/VALUE(MID(L10,2,10))))</f>
        <v/>
      </c>
      <c r="N10" s="4" t="inlineStr">
        <is>
          <t>B+</t>
        </is>
      </c>
      <c r="O10" s="11" t="inlineStr">
        <is>
          <t>EDLC switch hitter, bats L vs RHP — PNC LHB-friendly RF. 10 HR in 31 G (29% HR-per-game). Keller league-avg-ish. Marginal -EV at +420 — bet if FD ≥ +470.</t>
        </is>
      </c>
    </row>
    <row r="11" ht="56" customHeight="1">
      <c r="A11" s="4" t="n">
        <v>7</v>
      </c>
      <c r="B11" s="12" t="inlineStr">
        <is>
          <t>MONITOR</t>
        </is>
      </c>
      <c r="C11" s="6" t="inlineStr">
        <is>
          <t>Mickey Moniak</t>
        </is>
      </c>
      <c r="D11" s="4" t="inlineStr">
        <is>
          <t>COL</t>
        </is>
      </c>
      <c r="E11" s="4" t="inlineStr">
        <is>
          <t>Grant Holmes</t>
        </is>
      </c>
      <c r="F11" s="4" t="inlineStr">
        <is>
          <t>Coors Field</t>
        </is>
      </c>
      <c r="G11" s="8" t="n">
        <v>10</v>
      </c>
      <c r="H11" s="8" t="n">
        <v>8</v>
      </c>
      <c r="I11" s="4" t="inlineStr"/>
      <c r="J11" s="9" t="n">
        <v>0.18</v>
      </c>
      <c r="K11" s="4">
        <f>IF(J11&lt;0.5,"+"&amp;ROUND((1-J11)/J11*100,0),"-"&amp;ROUND(J11/(1-J11)*100,0))</f>
        <v/>
      </c>
      <c r="L11" s="4" t="inlineStr">
        <is>
          <t>+420</t>
        </is>
      </c>
      <c r="M11" s="10">
        <f>IF(LEFT(L11,1)="+", J11*(VALUE(MID(L11,2,10))/100) - (1-J11), J11 - (1-J11)*(100/VALUE(MID(L11,2,10))))</f>
        <v/>
      </c>
      <c r="N11" s="4" t="inlineStr">
        <is>
          <t>B</t>
        </is>
      </c>
      <c r="O11" s="11" t="inlineStr">
        <is>
          <t>Moniak 8 HR in 25 G (20% rate). LvR favorable, Coors HR factor 1.30. Marginal -EV at +420 — wait for +470.</t>
        </is>
      </c>
    </row>
    <row r="12" ht="56" customHeight="1">
      <c r="A12" s="4" t="n">
        <v>8</v>
      </c>
      <c r="B12" s="12" t="inlineStr">
        <is>
          <t>MONITOR</t>
        </is>
      </c>
      <c r="C12" s="6" t="inlineStr">
        <is>
          <t>Aaron Judge</t>
        </is>
      </c>
      <c r="D12" s="4" t="inlineStr">
        <is>
          <t>NYY</t>
        </is>
      </c>
      <c r="E12" s="4" t="inlineStr">
        <is>
          <t>Cade Povich</t>
        </is>
      </c>
      <c r="F12" s="4" t="inlineStr">
        <is>
          <t>Yankee Stadium</t>
        </is>
      </c>
      <c r="G12" s="8" t="n">
        <v>14.2</v>
      </c>
      <c r="H12" s="8" t="n">
        <v>9.5</v>
      </c>
      <c r="I12" s="4" t="inlineStr"/>
      <c r="J12" s="9" t="n">
        <v>0.28</v>
      </c>
      <c r="K12" s="4">
        <f>IF(J12&lt;0.5,"+"&amp;ROUND((1-J12)/J12*100,0),"-"&amp;ROUND(J12/(1-J12)*100,0))</f>
        <v/>
      </c>
      <c r="L12" s="4" t="inlineStr">
        <is>
          <t>+220</t>
        </is>
      </c>
      <c r="M12" s="10">
        <f>IF(LEFT(L12,1)="+", J12*(VALUE(MID(L12,2,10))/100) - (1-J12), J12 - (1-J12)*(100/VALUE(MID(L12,2,10))))</f>
        <v/>
      </c>
      <c r="N12" s="4" t="inlineStr">
        <is>
          <t>A</t>
        </is>
      </c>
      <c r="O12" s="11" t="inlineStr">
        <is>
          <t>Judge 14.2% barrel% (top-5 MLB), 12 HR in ~32 G, .622 SLG. RvL platoon at Yankee Stadium (RHB pull HR factor 1.12). Povich is rookie LHP — vulnerable to RHB. Premium spot but FD line tight at -EV. Trigger BET if FD ≥ +250.</t>
        </is>
      </c>
    </row>
    <row r="13" ht="56" customHeight="1">
      <c r="A13" s="4" t="n">
        <v>9</v>
      </c>
      <c r="B13" s="12" t="inlineStr">
        <is>
          <t>MONITOR</t>
        </is>
      </c>
      <c r="C13" s="6" t="inlineStr">
        <is>
          <t>Oneil Cruz</t>
        </is>
      </c>
      <c r="D13" s="4" t="inlineStr">
        <is>
          <t>PIT</t>
        </is>
      </c>
      <c r="E13" s="4" t="inlineStr">
        <is>
          <t>Brady Singer</t>
        </is>
      </c>
      <c r="F13" s="4" t="inlineStr">
        <is>
          <t>PNC Park</t>
        </is>
      </c>
      <c r="G13" s="8" t="n">
        <v>22.7</v>
      </c>
      <c r="H13" s="8" t="n">
        <v>8</v>
      </c>
      <c r="I13" s="4" t="inlineStr"/>
      <c r="J13" s="9" t="n">
        <v>0.22</v>
      </c>
      <c r="K13" s="4">
        <f>IF(J13&lt;0.5,"+"&amp;ROUND((1-J13)/J13*100,0),"-"&amp;ROUND(J13/(1-J13)*100,0))</f>
        <v/>
      </c>
      <c r="L13" s="4" t="inlineStr">
        <is>
          <t>+300</t>
        </is>
      </c>
      <c r="M13" s="10">
        <f>IF(LEFT(L13,1)="+", J13*(VALUE(MID(L13,2,10))/100) - (1-J13), J13 - (1-J13)*(100/VALUE(MID(L13,2,10))))</f>
        <v/>
      </c>
      <c r="N13" s="4" t="inlineStr">
        <is>
          <t>A-</t>
        </is>
      </c>
      <c r="O13" s="11" t="inlineStr">
        <is>
          <t>Cruz 22.7% barrel% (top-5 MLB), 9 HR in 30 G (26.7% rate), 99th-pct exit velo. LvR favorable. Singer's sinker keeps balls in but Cruz's hard contact wins. FD too short — wait for +360 to fire.</t>
        </is>
      </c>
    </row>
    <row r="14" ht="56" customHeight="1">
      <c r="A14" s="4" t="n">
        <v>10</v>
      </c>
      <c r="B14" s="13" t="inlineStr">
        <is>
          <t>PASS</t>
        </is>
      </c>
      <c r="C14" s="6" t="inlineStr">
        <is>
          <t>Adley Rutschman</t>
        </is>
      </c>
      <c r="D14" s="4" t="inlineStr">
        <is>
          <t>BAL</t>
        </is>
      </c>
      <c r="E14" s="4" t="inlineStr">
        <is>
          <t>Will Warren</t>
        </is>
      </c>
      <c r="F14" s="4" t="inlineStr">
        <is>
          <t>Yankee Stadium</t>
        </is>
      </c>
      <c r="G14" s="8" t="n">
        <v>9</v>
      </c>
      <c r="H14" s="8" t="n">
        <v>8.5</v>
      </c>
      <c r="I14" s="4" t="inlineStr"/>
      <c r="J14" s="9" t="n">
        <v>0.13</v>
      </c>
      <c r="K14" s="4">
        <f>IF(J14&lt;0.5,"+"&amp;ROUND((1-J14)/J14*100,0),"-"&amp;ROUND(J14/(1-J14)*100,0))</f>
        <v/>
      </c>
      <c r="L14" s="4" t="inlineStr">
        <is>
          <t>+550</t>
        </is>
      </c>
      <c r="M14" s="10">
        <f>IF(LEFT(L14,1)="+", J14*(VALUE(MID(L14,2,10))/100) - (1-J14), J14 - (1-J14)*(100/VALUE(MID(L14,2,10))))</f>
        <v/>
      </c>
      <c r="N14" s="4" t="inlineStr">
        <is>
          <t>C+</t>
        </is>
      </c>
      <c r="O14" s="11" t="inlineStr">
        <is>
          <t>Bats L vs RHP. Yankee Stadium LHB short porch. But Warren has been good (3-0). Modest pass.</t>
        </is>
      </c>
    </row>
    <row r="15" ht="56" customHeight="1">
      <c r="A15" s="4" t="n">
        <v>11</v>
      </c>
      <c r="B15" s="12" t="inlineStr">
        <is>
          <t>MONITOR</t>
        </is>
      </c>
      <c r="C15" s="6" t="inlineStr">
        <is>
          <t>Austin Riley</t>
        </is>
      </c>
      <c r="D15" s="4" t="inlineStr">
        <is>
          <t>ATL</t>
        </is>
      </c>
      <c r="E15" s="4" t="inlineStr">
        <is>
          <t>Jose Quintana</t>
        </is>
      </c>
      <c r="F15" s="4" t="inlineStr">
        <is>
          <t>Coors Field</t>
        </is>
      </c>
      <c r="G15" s="8" t="n">
        <v>12</v>
      </c>
      <c r="H15" s="8" t="n">
        <v>9</v>
      </c>
      <c r="I15" s="4" t="inlineStr"/>
      <c r="J15" s="9" t="n">
        <v>0.17</v>
      </c>
      <c r="K15" s="4">
        <f>IF(J15&lt;0.5,"+"&amp;ROUND((1-J15)/J15*100,0),"-"&amp;ROUND(J15/(1-J15)*100,0))</f>
        <v/>
      </c>
      <c r="L15" s="4" t="inlineStr">
        <is>
          <t>+390</t>
        </is>
      </c>
      <c r="M15" s="10">
        <f>IF(LEFT(L15,1)="+", J15*(VALUE(MID(L15,2,10))/100) - (1-J15), J15 - (1-J15)*(100/VALUE(MID(L15,2,10))))</f>
        <v/>
      </c>
      <c r="N15" s="4" t="inlineStr">
        <is>
          <t>B</t>
        </is>
      </c>
      <c r="O15" s="11" t="inlineStr">
        <is>
          <t>Career power. RvL platoon at Coors. Quintana weak. But FD priced him short on his name — slow start (3 HR in 32 G) hasn't been respected. Bet if FD ≥ +470.</t>
        </is>
      </c>
    </row>
    <row r="16" ht="56" customHeight="1">
      <c r="A16" s="4" t="n">
        <v>12</v>
      </c>
      <c r="B16" s="13" t="inlineStr">
        <is>
          <t>PASS</t>
        </is>
      </c>
      <c r="C16" s="6" t="inlineStr">
        <is>
          <t>Gunnar Henderson</t>
        </is>
      </c>
      <c r="D16" s="4" t="inlineStr">
        <is>
          <t>BAL</t>
        </is>
      </c>
      <c r="E16" s="4" t="inlineStr">
        <is>
          <t>Will Warren</t>
        </is>
      </c>
      <c r="F16" s="4" t="inlineStr">
        <is>
          <t>Yankee Stadium</t>
        </is>
      </c>
      <c r="G16" s="8" t="n">
        <v>12</v>
      </c>
      <c r="H16" s="8" t="n">
        <v>8.5</v>
      </c>
      <c r="I16" s="4" t="inlineStr"/>
      <c r="J16" s="9" t="n">
        <v>0.18</v>
      </c>
      <c r="K16" s="4">
        <f>IF(J16&lt;0.5,"+"&amp;ROUND((1-J16)/J16*100,0),"-"&amp;ROUND(J16/(1-J16)*100,0))</f>
        <v/>
      </c>
      <c r="L16" s="4" t="inlineStr">
        <is>
          <t>+360</t>
        </is>
      </c>
      <c r="M16" s="10">
        <f>IF(LEFT(L16,1)="+", J16*(VALUE(MID(L16,2,10))/100) - (1-J16), J16 - (1-J16)*(100/VALUE(MID(L16,2,10))))</f>
        <v/>
      </c>
      <c r="N16" s="4" t="inlineStr">
        <is>
          <t>B</t>
        </is>
      </c>
      <c r="O16" s="11" t="inlineStr">
        <is>
          <t>Henderson elite vs RHP. Yankee Stadium LHB-friendly. But Warren 3-0 form is strong and FD priced it short.</t>
        </is>
      </c>
    </row>
    <row r="17" ht="56" customHeight="1">
      <c r="A17" s="4" t="n">
        <v>13</v>
      </c>
      <c r="B17" s="13" t="inlineStr">
        <is>
          <t>PASS</t>
        </is>
      </c>
      <c r="C17" s="6" t="inlineStr">
        <is>
          <t>Pete Alonso</t>
        </is>
      </c>
      <c r="D17" s="4" t="inlineStr">
        <is>
          <t>NYM</t>
        </is>
      </c>
      <c r="E17" s="4" t="inlineStr">
        <is>
          <t>Walbert Urena</t>
        </is>
      </c>
      <c r="F17" s="4" t="inlineStr">
        <is>
          <t>Angel Stadium</t>
        </is>
      </c>
      <c r="G17" s="8" t="n">
        <v>13</v>
      </c>
      <c r="H17" s="8" t="n">
        <v>9.5</v>
      </c>
      <c r="I17" s="4" t="inlineStr"/>
      <c r="J17" s="9" t="n">
        <v>0.14</v>
      </c>
      <c r="K17" s="4">
        <f>IF(J17&lt;0.5,"+"&amp;ROUND((1-J17)/J17*100,0),"-"&amp;ROUND(J17/(1-J17)*100,0))</f>
        <v/>
      </c>
      <c r="L17" s="4" t="inlineStr">
        <is>
          <t>+480</t>
        </is>
      </c>
      <c r="M17" s="10">
        <f>IF(LEFT(L17,1)="+", J17*(VALUE(MID(L17,2,10))/100) - (1-J17), J17 - (1-J17)*(100/VALUE(MID(L17,2,10))))</f>
        <v/>
      </c>
      <c r="N17" s="4" t="inlineStr">
        <is>
          <t>C+</t>
        </is>
      </c>
      <c r="O17" s="11" t="inlineStr">
        <is>
          <t>RvR neutral. Urena weak. Line short.</t>
        </is>
      </c>
    </row>
    <row r="18" ht="56" customHeight="1">
      <c r="A18" s="4" t="n">
        <v>14</v>
      </c>
      <c r="B18" s="13" t="inlineStr">
        <is>
          <t>PASS</t>
        </is>
      </c>
      <c r="C18" s="6" t="inlineStr">
        <is>
          <t>Kerry Carpenter</t>
        </is>
      </c>
      <c r="D18" s="4" t="inlineStr">
        <is>
          <t>DET</t>
        </is>
      </c>
      <c r="E18" s="4" t="inlineStr">
        <is>
          <t>TBD</t>
        </is>
      </c>
      <c r="F18" s="4" t="inlineStr">
        <is>
          <t>Comerica Park</t>
        </is>
      </c>
      <c r="G18" s="8" t="n">
        <v>12</v>
      </c>
      <c r="H18" s="8" t="n"/>
      <c r="I18" s="4" t="inlineStr"/>
      <c r="J18" s="9" t="n">
        <v>0.13</v>
      </c>
      <c r="K18" s="4">
        <f>IF(J18&lt;0.5,"+"&amp;ROUND((1-J18)/J18*100,0),"-"&amp;ROUND(J18/(1-J18)*100,0))</f>
        <v/>
      </c>
      <c r="L18" s="4" t="inlineStr">
        <is>
          <t>+520</t>
        </is>
      </c>
      <c r="M18" s="10">
        <f>IF(LEFT(L18,1)="+", J18*(VALUE(MID(L18,2,10))/100) - (1-J18), J18 - (1-J18)*(100/VALUE(MID(L18,2,10))))</f>
        <v/>
      </c>
      <c r="N18" s="4" t="inlineStr">
        <is>
          <t>C</t>
        </is>
      </c>
      <c r="O18" s="11" t="inlineStr">
        <is>
          <t>LHB power. Need TEX SP. Comerica suppresses.</t>
        </is>
      </c>
    </row>
    <row r="19" ht="56" customHeight="1">
      <c r="A19" s="4" t="n">
        <v>15</v>
      </c>
      <c r="B19" s="13" t="inlineStr">
        <is>
          <t>PASS</t>
        </is>
      </c>
      <c r="C19" s="6" t="inlineStr">
        <is>
          <t>James Wood</t>
        </is>
      </c>
      <c r="D19" s="4" t="inlineStr">
        <is>
          <t>WSH</t>
        </is>
      </c>
      <c r="E19" s="4" t="inlineStr">
        <is>
          <t>TBD</t>
        </is>
      </c>
      <c r="F19" s="4" t="inlineStr">
        <is>
          <t>Nationals Park</t>
        </is>
      </c>
      <c r="G19" s="8" t="n">
        <v>14.2</v>
      </c>
      <c r="H19" s="8" t="n"/>
      <c r="I19" s="4" t="inlineStr"/>
      <c r="J19" s="9" t="n">
        <v>0.18</v>
      </c>
      <c r="K19" s="4">
        <f>IF(J19&lt;0.5,"+"&amp;ROUND((1-J19)/J19*100,0),"-"&amp;ROUND(J19/(1-J19)*100,0))</f>
        <v/>
      </c>
      <c r="L19" s="4" t="inlineStr">
        <is>
          <t>+340</t>
        </is>
      </c>
      <c r="M19" s="10">
        <f>IF(LEFT(L19,1)="+", J19*(VALUE(MID(L19,2,10))/100) - (1-J19), J19 - (1-J19)*(100/VALUE(MID(L19,2,10))))</f>
        <v/>
      </c>
      <c r="N19" s="4" t="inlineStr">
        <is>
          <t>B-</t>
        </is>
      </c>
      <c r="O19" s="11" t="inlineStr">
        <is>
          <t>Wood top-5 barrel% MLB. Need MIL SP. FD priced too tight on his hot stretch.</t>
        </is>
      </c>
    </row>
  </sheetData>
  <mergeCells count="2">
    <mergeCell ref="A2:M2"/>
    <mergeCell ref="A1:M1"/>
  </mergeCells>
  <conditionalFormatting sqref="M5:M19">
    <cfRule type="cellIs" priority="1" operator="greaterThanOrEqual" dxfId="0">
      <formula>0.05</formula>
    </cfRule>
    <cfRule type="cellIs" priority="2" operator="between" dxfId="1">
      <formula>0</formula>
      <formula>0.0499</formula>
    </cfRule>
    <cfRule type="cellIs" priority="3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24" customWidth="1" min="4" max="4"/>
    <col width="12" customWidth="1" min="5" max="5"/>
    <col width="11" customWidth="1" min="6" max="6"/>
    <col width="14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 ht="22" customHeight="1">
      <c r="A1" s="1" t="inlineStr">
        <is>
          <t>Daily HR Pick Tracker — ROI Log</t>
        </is>
      </c>
    </row>
    <row r="2">
      <c r="A2" s="2" t="inlineStr">
        <is>
          <t>Log each pick. Set Result (W/L), Stake, FD Odds at bet. ROI auto-calculates.</t>
        </is>
      </c>
    </row>
    <row r="4" ht="28" customHeight="1">
      <c r="A4" s="3" t="inlineStr">
        <is>
          <t>Date</t>
        </is>
      </c>
      <c r="B4" s="3" t="inlineStr">
        <is>
          <t>Player</t>
        </is>
      </c>
      <c r="C4" s="3" t="inlineStr">
        <is>
          <t>Team</t>
        </is>
      </c>
      <c r="D4" s="3" t="inlineStr">
        <is>
          <t>Opp Pitcher</t>
        </is>
      </c>
      <c r="E4" s="3" t="inlineStr">
        <is>
          <t>Model P(HR)</t>
        </is>
      </c>
      <c r="F4" s="3" t="inlineStr">
        <is>
          <t>Fair Odds</t>
        </is>
      </c>
      <c r="G4" s="3" t="inlineStr">
        <is>
          <t>FD Odds (taken)</t>
        </is>
      </c>
      <c r="H4" s="3" t="inlineStr">
        <is>
          <t>Stake $</t>
        </is>
      </c>
      <c r="I4" s="3" t="inlineStr">
        <is>
          <t>Result (W/L)</t>
        </is>
      </c>
      <c r="J4" s="3" t="inlineStr">
        <is>
          <t>Profit $</t>
        </is>
      </c>
      <c r="K4" s="3" t="inlineStr">
        <is>
          <t>Cumulative ROI %</t>
        </is>
      </c>
    </row>
    <row r="5">
      <c r="A5" s="4" t="inlineStr">
        <is>
          <t>2026-05-01</t>
        </is>
      </c>
      <c r="B5" s="6" t="inlineStr">
        <is>
          <t>Ozzie Albies</t>
        </is>
      </c>
      <c r="C5" s="4" t="inlineStr">
        <is>
          <t>ATL</t>
        </is>
      </c>
      <c r="D5" s="4" t="inlineStr">
        <is>
          <t>Jose Quintana</t>
        </is>
      </c>
      <c r="E5" s="9" t="n">
        <v>0.24</v>
      </c>
      <c r="F5" s="4">
        <f>IF(E5&lt;0.5,"+"&amp;ROUND((1-E5)/E5*100,0),"-"&amp;ROUND(E5/(1-E5)*100,0))</f>
        <v/>
      </c>
      <c r="G5" s="14" t="inlineStr">
        <is>
          <t>+490</t>
        </is>
      </c>
      <c r="H5" s="15" t="n">
        <v>10</v>
      </c>
      <c r="I5" s="14" t="inlineStr"/>
      <c r="J5" s="16">
        <f>IF(I5="","",IF(I5="W",IF(LEFT(G5,1)="+",H5*VALUE(MID(G5,2,10))/100,H5*100/VALUE(MID(G5,2,10))),-H5))</f>
        <v/>
      </c>
      <c r="K5" s="10">
        <f>IF(SUM($H$5:H5)=0,"",SUM($J$5:J5)/SUM($H$5:H5))</f>
        <v/>
      </c>
    </row>
    <row r="6">
      <c r="A6" s="4" t="inlineStr">
        <is>
          <t>2026-05-01</t>
        </is>
      </c>
      <c r="B6" s="6" t="inlineStr">
        <is>
          <t>Hunter Goodman</t>
        </is>
      </c>
      <c r="C6" s="4" t="inlineStr">
        <is>
          <t>COL</t>
        </is>
      </c>
      <c r="D6" s="4" t="inlineStr">
        <is>
          <t>Grant Holmes</t>
        </is>
      </c>
      <c r="E6" s="9" t="n">
        <v>0.22</v>
      </c>
      <c r="F6" s="4">
        <f>IF(E6&lt;0.5,"+"&amp;ROUND((1-E6)/E6*100,0),"-"&amp;ROUND(E6/(1-E6)*100,0))</f>
        <v/>
      </c>
      <c r="G6" s="14" t="inlineStr">
        <is>
          <t>+470</t>
        </is>
      </c>
      <c r="H6" s="15" t="n">
        <v>10</v>
      </c>
      <c r="I6" s="14" t="inlineStr"/>
      <c r="J6" s="16">
        <f>IF(I6="","",IF(I6="W",IF(LEFT(G6,1)="+",H6*VALUE(MID(G6,2,10))/100,H6*100/VALUE(MID(G6,2,10))),-H6))</f>
        <v/>
      </c>
      <c r="K6" s="10">
        <f>IF(SUM($H$5:H6)=0,"",SUM($J$5:J6)/SUM($H$5:H6))</f>
        <v/>
      </c>
    </row>
    <row r="7">
      <c r="A7" s="17" t="inlineStr">
        <is>
          <t>MONITOR (bet only if line lengthens)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9" t="n"/>
    </row>
    <row r="8">
      <c r="A8" s="4" t="inlineStr">
        <is>
          <t>2026-05-01</t>
        </is>
      </c>
      <c r="B8" s="6" t="inlineStr">
        <is>
          <t>Aaron Judge</t>
        </is>
      </c>
      <c r="C8" s="4" t="inlineStr">
        <is>
          <t>NYY</t>
        </is>
      </c>
      <c r="D8" s="4" t="inlineStr">
        <is>
          <t>Cade Povich</t>
        </is>
      </c>
      <c r="E8" s="9" t="n">
        <v>0.28</v>
      </c>
      <c r="F8" s="4">
        <f>IF(E8&lt;0.5,"+"&amp;ROUND((1-E8)/E8*100,0),"-"&amp;ROUND(E8/(1-E8)*100,0))</f>
        <v/>
      </c>
      <c r="G8" s="14" t="inlineStr">
        <is>
          <t>+220</t>
        </is>
      </c>
      <c r="H8" s="15" t="n">
        <v>0</v>
      </c>
      <c r="I8" s="14" t="inlineStr"/>
      <c r="J8" s="16">
        <f>IF(I8="","",IF(I8="W",IF(LEFT(G8,1)="+",H8*VALUE(MID(G8,2,10))/100,H8*100/VALUE(MID(G8,2,10))),-H8))</f>
        <v/>
      </c>
      <c r="K8" s="10">
        <f>IF(SUM($H$5:H8)=0,"",SUM($J$5:J8)/SUM($H$5:H8))</f>
        <v/>
      </c>
    </row>
    <row r="9">
      <c r="A9" s="4" t="inlineStr">
        <is>
          <t>2026-05-01</t>
        </is>
      </c>
      <c r="B9" s="6" t="inlineStr">
        <is>
          <t>Elly De La Cruz</t>
        </is>
      </c>
      <c r="C9" s="4" t="inlineStr">
        <is>
          <t>CIN</t>
        </is>
      </c>
      <c r="D9" s="4" t="inlineStr">
        <is>
          <t>Mitch Keller</t>
        </is>
      </c>
      <c r="E9" s="9" t="n">
        <v>0.18</v>
      </c>
      <c r="F9" s="4">
        <f>IF(E9&lt;0.5,"+"&amp;ROUND((1-E9)/E9*100,0),"-"&amp;ROUND(E9/(1-E9)*100,0))</f>
        <v/>
      </c>
      <c r="G9" s="14" t="inlineStr">
        <is>
          <t>+420</t>
        </is>
      </c>
      <c r="H9" s="15" t="n">
        <v>0</v>
      </c>
      <c r="I9" s="14" t="inlineStr"/>
      <c r="J9" s="16">
        <f>IF(I9="","",IF(I9="W",IF(LEFT(G9,1)="+",H9*VALUE(MID(G9,2,10))/100,H9*100/VALUE(MID(G9,2,10))),-H9))</f>
        <v/>
      </c>
      <c r="K9" s="10">
        <f>IF(SUM($H$5:H9)=0,"",SUM($J$5:J9)/SUM($H$5:H9))</f>
        <v/>
      </c>
    </row>
    <row r="10">
      <c r="A10" s="4" t="inlineStr">
        <is>
          <t>2026-05-01</t>
        </is>
      </c>
      <c r="B10" s="6" t="inlineStr">
        <is>
          <t>Oneil Cruz</t>
        </is>
      </c>
      <c r="C10" s="4" t="inlineStr">
        <is>
          <t>PIT</t>
        </is>
      </c>
      <c r="D10" s="4" t="inlineStr">
        <is>
          <t>Brady Singer</t>
        </is>
      </c>
      <c r="E10" s="9" t="n">
        <v>0.22</v>
      </c>
      <c r="F10" s="4">
        <f>IF(E10&lt;0.5,"+"&amp;ROUND((1-E10)/E10*100,0),"-"&amp;ROUND(E10/(1-E10)*100,0))</f>
        <v/>
      </c>
      <c r="G10" s="14" t="inlineStr">
        <is>
          <t>+300</t>
        </is>
      </c>
      <c r="H10" s="15" t="n">
        <v>0</v>
      </c>
      <c r="I10" s="14" t="inlineStr"/>
      <c r="J10" s="16">
        <f>IF(I10="","",IF(I10="W",IF(LEFT(G10,1)="+",H10*VALUE(MID(G10,2,10))/100,H10*100/VALUE(MID(G10,2,10))),-H10))</f>
        <v/>
      </c>
      <c r="K10" s="10">
        <f>IF(SUM($H$5:H10)=0,"",SUM($J$5:J10)/SUM($H$5:H10))</f>
        <v/>
      </c>
    </row>
    <row r="11">
      <c r="A11" s="4" t="inlineStr">
        <is>
          <t>2026-05-01</t>
        </is>
      </c>
      <c r="B11" s="6" t="inlineStr">
        <is>
          <t>Mickey Moniak</t>
        </is>
      </c>
      <c r="C11" s="4" t="inlineStr">
        <is>
          <t>COL</t>
        </is>
      </c>
      <c r="D11" s="4" t="inlineStr">
        <is>
          <t>Grant Holmes</t>
        </is>
      </c>
      <c r="E11" s="9" t="n">
        <v>0.18</v>
      </c>
      <c r="F11" s="4">
        <f>IF(E11&lt;0.5,"+"&amp;ROUND((1-E11)/E11*100,0),"-"&amp;ROUND(E11/(1-E11)*100,0))</f>
        <v/>
      </c>
      <c r="G11" s="14" t="inlineStr">
        <is>
          <t>+420</t>
        </is>
      </c>
      <c r="H11" s="15" t="n">
        <v>0</v>
      </c>
      <c r="I11" s="14" t="inlineStr"/>
      <c r="J11" s="16">
        <f>IF(I11="","",IF(I11="W",IF(LEFT(G11,1)="+",H11*VALUE(MID(G11,2,10))/100,H11*100/VALUE(MID(G11,2,10))),-H11))</f>
        <v/>
      </c>
      <c r="K11" s="10">
        <f>IF(SUM($H$5:H11)=0,"",SUM($J$5:J11)/SUM($H$5:H11))</f>
        <v/>
      </c>
    </row>
    <row r="12">
      <c r="A12" s="4" t="inlineStr">
        <is>
          <t>2026-05-01</t>
        </is>
      </c>
      <c r="B12" s="6" t="inlineStr">
        <is>
          <t>Austin Riley</t>
        </is>
      </c>
      <c r="C12" s="4" t="inlineStr">
        <is>
          <t>ATL</t>
        </is>
      </c>
      <c r="D12" s="4" t="inlineStr">
        <is>
          <t>Jose Quintana</t>
        </is>
      </c>
      <c r="E12" s="9" t="n">
        <v>0.17</v>
      </c>
      <c r="F12" s="4">
        <f>IF(E12&lt;0.5,"+"&amp;ROUND((1-E12)/E12*100,0),"-"&amp;ROUND(E12/(1-E12)*100,0))</f>
        <v/>
      </c>
      <c r="G12" s="14" t="inlineStr">
        <is>
          <t>+390</t>
        </is>
      </c>
      <c r="H12" s="15" t="n">
        <v>0</v>
      </c>
      <c r="I12" s="14" t="inlineStr"/>
      <c r="J12" s="16">
        <f>IF(I12="","",IF(I12="W",IF(LEFT(G12,1)="+",H12*VALUE(MID(G12,2,10))/100,H12*100/VALUE(MID(G12,2,10))),-H12))</f>
        <v/>
      </c>
      <c r="K12" s="10">
        <f>IF(SUM($H$5:H12)=0,"",SUM($J$5:J12)/SUM($H$5:H12))</f>
        <v/>
      </c>
    </row>
    <row r="13">
      <c r="A13" s="4" t="inlineStr">
        <is>
          <t>2026-05-01</t>
        </is>
      </c>
      <c r="B13" s="6" t="inlineStr">
        <is>
          <t>Drake Baldwin</t>
        </is>
      </c>
      <c r="C13" s="4" t="inlineStr">
        <is>
          <t>ATL</t>
        </is>
      </c>
      <c r="D13" s="4" t="inlineStr">
        <is>
          <t>Jose Quintana</t>
        </is>
      </c>
      <c r="E13" s="9" t="n">
        <v>0.17</v>
      </c>
      <c r="F13" s="4">
        <f>IF(E13&lt;0.5,"+"&amp;ROUND((1-E13)/E13*100,0),"-"&amp;ROUND(E13/(1-E13)*100,0))</f>
        <v/>
      </c>
      <c r="G13" s="14" t="inlineStr">
        <is>
          <t>+490</t>
        </is>
      </c>
      <c r="H13" s="15" t="n">
        <v>0</v>
      </c>
      <c r="I13" s="14" t="inlineStr"/>
      <c r="J13" s="16">
        <f>IF(I13="","",IF(I13="W",IF(LEFT(G13,1)="+",H13*VALUE(MID(G13,2,10))/100,H13*100/VALUE(MID(G13,2,10))),-H13))</f>
        <v/>
      </c>
      <c r="K13" s="10">
        <f>IF(SUM($H$5:H13)=0,"",SUM($J$5:J13)/SUM($H$5:H13))</f>
        <v/>
      </c>
    </row>
    <row r="14">
      <c r="A14" s="4" t="inlineStr">
        <is>
          <t>2026-05-01</t>
        </is>
      </c>
      <c r="B14" s="6" t="inlineStr">
        <is>
          <t>Juan Soto</t>
        </is>
      </c>
      <c r="C14" s="4" t="inlineStr">
        <is>
          <t>NYM</t>
        </is>
      </c>
      <c r="D14" s="4" t="inlineStr">
        <is>
          <t>Walbert Urena</t>
        </is>
      </c>
      <c r="E14" s="9" t="n">
        <v>0.2</v>
      </c>
      <c r="F14" s="4">
        <f>IF(E14&lt;0.5,"+"&amp;ROUND((1-E14)/E14*100,0),"-"&amp;ROUND(E14/(1-E14)*100,0))</f>
        <v/>
      </c>
      <c r="G14" s="14" t="inlineStr">
        <is>
          <t>+370</t>
        </is>
      </c>
      <c r="H14" s="15" t="n">
        <v>0</v>
      </c>
      <c r="I14" s="14" t="inlineStr"/>
      <c r="J14" s="16">
        <f>IF(I14="","",IF(I14="W",IF(LEFT(G14,1)="+",H14*VALUE(MID(G14,2,10))/100,H14*100/VALUE(MID(G14,2,10))),-H14))</f>
        <v/>
      </c>
      <c r="K14" s="10">
        <f>IF(SUM($H$5:H14)=0,"",SUM($J$5:J14)/SUM($H$5:H14))</f>
        <v/>
      </c>
    </row>
    <row r="15">
      <c r="A15" s="4" t="inlineStr">
        <is>
          <t>2026-05-01</t>
        </is>
      </c>
      <c r="B15" s="6" t="inlineStr">
        <is>
          <t>Ronald Acuña Jr.</t>
        </is>
      </c>
      <c r="C15" s="4" t="inlineStr">
        <is>
          <t>ATL</t>
        </is>
      </c>
      <c r="D15" s="4" t="inlineStr">
        <is>
          <t>Jose Quintana</t>
        </is>
      </c>
      <c r="E15" s="9" t="n">
        <v>0.16</v>
      </c>
      <c r="F15" s="4">
        <f>IF(E15&lt;0.5,"+"&amp;ROUND((1-E15)/E15*100,0),"-"&amp;ROUND(E15/(1-E15)*100,0))</f>
        <v/>
      </c>
      <c r="G15" s="14" t="inlineStr">
        <is>
          <t>+370</t>
        </is>
      </c>
      <c r="H15" s="15" t="n">
        <v>0</v>
      </c>
      <c r="I15" s="14" t="inlineStr"/>
      <c r="J15" s="16">
        <f>IF(I15="","",IF(I15="W",IF(LEFT(G15,1)="+",H15*VALUE(MID(G15,2,10))/100,H15*100/VALUE(MID(G15,2,10))),-H15))</f>
        <v/>
      </c>
      <c r="K15" s="10">
        <f>IF(SUM($H$5:H15)=0,"",SUM($J$5:J15)/SUM($H$5:H15))</f>
        <v/>
      </c>
    </row>
    <row r="17">
      <c r="A17" s="20" t="inlineStr">
        <is>
          <t>TOTALS</t>
        </is>
      </c>
      <c r="B17" s="20" t="n"/>
      <c r="C17" s="20" t="n"/>
      <c r="D17" s="20" t="n"/>
      <c r="E17" s="20" t="n"/>
      <c r="F17" s="20" t="n"/>
      <c r="G17" s="20" t="n"/>
      <c r="H17" s="21">
        <f>SUM(H5:H15)</f>
        <v/>
      </c>
      <c r="I17" s="20" t="n"/>
      <c r="J17" s="22">
        <f>SUM(J5:J15)</f>
        <v/>
      </c>
      <c r="K17" s="23">
        <f>IF(H17=0,"",J17/H17)</f>
        <v/>
      </c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2" customHeight="1">
      <c r="A1" s="1" t="inlineStr">
        <is>
          <t>HR Probability Model v2 — Methodology &amp; Sources</t>
        </is>
      </c>
    </row>
    <row r="2" ht="24" customHeight="1">
      <c r="A2" s="3" t="inlineStr">
        <is>
          <t>Section</t>
        </is>
      </c>
      <c r="B2" s="3" t="inlineStr">
        <is>
          <t>Detail</t>
        </is>
      </c>
    </row>
    <row r="3" ht="44" customHeight="1">
      <c r="A3" s="24" t="inlineStr">
        <is>
          <t>Probability formula (v2)</t>
        </is>
      </c>
      <c r="B3" s="11" t="inlineStr">
        <is>
          <t>P(HR) = HR/PA-vs-hand × Park HR factor × Pitcher HR/9 mult × Barrel-quality multiplier × Form factor × Expected PA. Barrel-quality is now ~30% of the signal.</t>
        </is>
      </c>
    </row>
    <row r="4" ht="44" customHeight="1">
      <c r="A4" s="24" t="inlineStr">
        <is>
          <t>Barrel-quality multiplier (NEW v2)</t>
        </is>
      </c>
      <c r="B4" s="11" t="inlineStr">
        <is>
          <t>Hitter barrel% × pitcher barrel%-allowed, normalized to league avg. League avg hitter barrel ~7.5%; SP allowed ~7.0%. A 14% hitter vs a 9% allow SP boosts P by 35-40%; a 10% vs 6% allow suppresses by 25%.</t>
        </is>
      </c>
    </row>
    <row r="5" ht="44" customHeight="1">
      <c r="A5" s="24" t="inlineStr">
        <is>
          <t>Reverse-split flag (NEW v2)</t>
        </is>
      </c>
      <c r="B5" s="11" t="inlineStr">
        <is>
          <t>Triggers when pitcher's same-handed OPS allowed &gt; opposite-handed (e.g., LHP vs LHB). Confirmed today: Bassitt (LHB .844 OPS / RHB .632), Springs (LHB .873 / RHB .783). Naive L/R platoon penalty is REVERSED.</t>
        </is>
      </c>
    </row>
    <row r="6" ht="44" customHeight="1">
      <c r="A6" s="24" t="inlineStr">
        <is>
          <t>HR/PA vs hand</t>
        </is>
      </c>
      <c r="B6" s="11" t="inlineStr">
        <is>
          <t>Hitter career or trailing-365-day HR/PA against pitcher handedness. Skewed weighting toward last 60 days for current-form.</t>
        </is>
      </c>
    </row>
    <row r="7" ht="44" customHeight="1">
      <c r="A7" s="24" t="inlineStr">
        <is>
          <t>Park HR factor</t>
        </is>
      </c>
      <c r="B7" s="11" t="inlineStr">
        <is>
          <t>3-yr Statcast park HR factor for hitter handedness. Coors 1.30, GAB 1.10, Daikin 1.05, Sutter Health 1.10, Citi 0.96, PNC 0.92 RHB / 1.05 LHB.</t>
        </is>
      </c>
    </row>
    <row r="8" ht="44" customHeight="1">
      <c r="A8" s="24" t="inlineStr">
        <is>
          <t>Pitcher HR/9 multiplier</t>
        </is>
      </c>
      <c r="B8" s="11" t="inlineStr">
        <is>
          <t>60% L5 starts + 40% season HR/9, normalized to league avg HR/9 (~1.20). Capped 0.5x–2.0x.</t>
        </is>
      </c>
    </row>
    <row r="9" ht="44" customHeight="1">
      <c r="A9" s="24" t="inlineStr">
        <is>
          <t>Form factor</t>
        </is>
      </c>
      <c r="B9" s="11" t="inlineStr">
        <is>
          <t>Capped 0.85–1.20× adjustment based on last-20-PA contact quality (barrel%, hard-hit%, FB%). Drought streaks not boosted.</t>
        </is>
      </c>
    </row>
    <row r="10" ht="44" customHeight="1">
      <c r="A10" s="24" t="inlineStr">
        <is>
          <t>Expected PA</t>
        </is>
      </c>
      <c r="B10" s="11" t="inlineStr">
        <is>
          <t>Lineup spot 1–4 → 4.3-4.5 PA. 5–7 → 4.0 PA. 8–9 → 3.5 PA.</t>
        </is>
      </c>
    </row>
    <row r="11" ht="44" customHeight="1">
      <c r="A11" s="24" t="inlineStr">
        <is>
          <t>Fair odds calc</t>
        </is>
      </c>
      <c r="B11" s="11" t="inlineStr">
        <is>
          <t>If P &lt; 0.50: Fair Odds (American) = +(1−P)/P × 100. If P ≥ 0.50: Fair Odds = −P/(1−P) × 100.</t>
        </is>
      </c>
    </row>
    <row r="12" ht="44" customHeight="1">
      <c r="A12" s="24" t="inlineStr">
        <is>
          <t>EV % calc</t>
        </is>
      </c>
      <c r="B12" s="11" t="inlineStr">
        <is>
          <t>EV = P × FD payout − (1−P). +EV if EV% &gt; 0. Recommended action: BET if EV ≥ +5% with confidence ≥ B−.</t>
        </is>
      </c>
    </row>
    <row r="13" ht="44" customHeight="1">
      <c r="A13" s="24" t="inlineStr">
        <is>
          <t>Confidence grades</t>
        </is>
      </c>
      <c r="B13" s="11" t="inlineStr">
        <is>
          <t>A = high data confidence + strong matchup. A− = strong matchup w/ one caveat. B+/B = above-avg edge. C = marginal. D/F = avoid.</t>
        </is>
      </c>
    </row>
    <row r="14" ht="44" customHeight="1">
      <c r="A14" s="24" t="inlineStr">
        <is>
          <t>Avoiding 'due' logic</t>
        </is>
      </c>
      <c r="B14" s="11" t="inlineStr">
        <is>
          <t>Model explicitly does NOT boost players for HR drought. Recent HR streaks only count when supported by sustained barrel/hard-hit data.</t>
        </is>
      </c>
    </row>
    <row r="15" ht="44" customHeight="1">
      <c r="A15" s="24" t="inlineStr">
        <is>
          <t>Today's data sources</t>
        </is>
      </c>
      <c r="B15" s="11" t="inlineStr">
        <is>
          <t>FanDuel Research (HR props), DK Network probable pitchers, Covers, SBR, FanGraphs splits, Baseball Savant Statcast leaderboard, Pitcher List Cardinals breakdown.</t>
        </is>
      </c>
    </row>
    <row r="16" ht="44" customHeight="1">
      <c r="A16" s="24" t="inlineStr">
        <is>
          <t>v2 changes (today)</t>
        </is>
      </c>
      <c r="B16" s="11" t="inlineStr">
        <is>
          <t>Added barrel% as primary input. Confirmed Bassitt + Springs reverse splits. Corrected park for CIN/COL game (GAB not Coors). Added Sal Stewart, Oneil Cruz to slate. Downgraded ATL hitters vs Valdez (5.5% barrel% allowed).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2026-05-01T15:43:03Z</dcterms:created>
  <dcterms:modified xmlns:dcterms="http://purl.org/dc/terms/" xmlns:xsi="http://www.w3.org/2001/XMLSchema-instance" xsi:type="dcterms:W3CDTF">2026-05-01T15:43:03Z</dcterms:modified>
</cp:coreProperties>
</file>