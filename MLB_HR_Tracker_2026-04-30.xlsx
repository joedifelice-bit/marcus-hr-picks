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30 Ranked" sheetId="1" state="visible" r:id="rId3"/>
    <sheet name="Top 15 +EV Plays" sheetId="2" state="visible" r:id="rId4"/>
    <sheet name="Daily ROI Tracker" sheetId="3" state="visible" r:id="rId5"/>
    <sheet name="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<sst xmlns="http://schemas.openxmlformats.org/spreadsheetml/2006/main" count="582" uniqueCount="193">
  <si>
    <t xml:space="preserve">MLB HR Prop Bets v2 — Top 30 Ranked (barrel-first model + reverse splits)</t>
  </si>
  <si>
    <t xml:space="preserve">Date: Friday, May 1, 2026 (v2 — barrel-first model + reverse splits) · Model v2.0</t>
  </si>
  <si>
    <t xml:space="preserve">Rank</t>
  </si>
  <si>
    <t xml:space="preserve">Action</t>
  </si>
  <si>
    <t xml:space="preserve">Player</t>
  </si>
  <si>
    <t xml:space="preserve">Team</t>
  </si>
  <si>
    <t xml:space="preserve">Bat</t>
  </si>
  <si>
    <t xml:space="preserve">Opp Pitcher</t>
  </si>
  <si>
    <t xml:space="preserve">Throws</t>
  </si>
  <si>
    <t xml:space="preserve">Park</t>
  </si>
  <si>
    <t xml:space="preserve">Park HR</t>
  </si>
  <si>
    <t xml:space="preserve">H Brl%</t>
  </si>
  <si>
    <t xml:space="preserve">SP Brl% Allow</t>
  </si>
  <si>
    <t xml:space="preserve">Rev Split</t>
  </si>
  <si>
    <t xml:space="preserve">Model P(HR)</t>
  </si>
  <si>
    <t xml:space="preserve">Fair Odds</t>
  </si>
  <si>
    <t xml:space="preserve">FD Odds</t>
  </si>
  <si>
    <t xml:space="preserve">EV %</t>
  </si>
  <si>
    <t xml:space="preserve">Conf</t>
  </si>
  <si>
    <t xml:space="preserve">Notes</t>
  </si>
  <si>
    <t xml:space="preserve">BET</t>
  </si>
  <si>
    <t xml:space="preserve">Ozzie Albies</t>
  </si>
  <si>
    <t xml:space="preserve">ATL</t>
  </si>
  <si>
    <t xml:space="preserve">S</t>
  </si>
  <si>
    <t xml:space="preserve">Jose Quintana</t>
  </si>
  <si>
    <t xml:space="preserve">L</t>
  </si>
  <si>
    <t xml:space="preserve">Coors Field</t>
  </si>
  <si>
    <t xml:space="preserve">NORMAL</t>
  </si>
  <si>
    <t xml:space="preserve">+490</t>
  </si>
  <si>
    <t xml:space="preserve">A</t>
  </si>
  <si>
    <t xml:space="preserve">INSANE career edge: Albies 9-for-19 with 3 HR off Quintana for 1.553 OPS. Switch hitter bats R vs LHP. Coors HR factor 1.30. Quintana 4.91 ERA, 1.53 WHIP, weak form. Top play of the day.</t>
  </si>
  <si>
    <t xml:space="preserve">MONITOR</t>
  </si>
  <si>
    <t xml:space="preserve">Aaron Judge</t>
  </si>
  <si>
    <t xml:space="preserve">NYY</t>
  </si>
  <si>
    <t xml:space="preserve">R</t>
  </si>
  <si>
    <t xml:space="preserve">Cade Povich</t>
  </si>
  <si>
    <t xml:space="preserve">Yankee Stadium</t>
  </si>
  <si>
    <t xml:space="preserve">+220</t>
  </si>
  <si>
    <t xml:space="preserve">Judge 14.2% barrel% (top-5 MLB), 12 HR in ~32 G, .622 SLG. RvL platoon at Yankee Stadium (RHB pull HR factor 1.12). Povich is rookie LHP — vulnerable to RHB. Premium spot but FD line tight at -EV. Trigger BET if FD ≥ +250.</t>
  </si>
  <si>
    <t xml:space="preserve">Hunter Goodman</t>
  </si>
  <si>
    <t xml:space="preserve">COL</t>
  </si>
  <si>
    <t xml:space="preserve">Grant Holmes</t>
  </si>
  <si>
    <t xml:space="preserve">+470</t>
  </si>
  <si>
    <t xml:space="preserve">A-</t>
  </si>
  <si>
    <t xml:space="preserve">Goodman 9 HR in 29 G (24.1% rate), elite Coors home power. Holmes is decent (3.62 ERA) but Coors HR factor 1.30 dominates. RvR platoon neutral but park overrides.</t>
  </si>
  <si>
    <t xml:space="preserve">PASS</t>
  </si>
  <si>
    <t xml:space="preserve">Marcell Ozuna</t>
  </si>
  <si>
    <t xml:space="preserve">PIT</t>
  </si>
  <si>
    <t xml:space="preserve">Brady Singer</t>
  </si>
  <si>
    <t xml:space="preserve">PNC Park</t>
  </si>
  <si>
    <t xml:space="preserve">+710</t>
  </si>
  <si>
    <t xml:space="preserve">C</t>
  </si>
  <si>
    <t xml:space="preserve">TEAM CORRECTED — Ozuna is on PIT in 2026 (signed Feb 16). Game is CIN @ PIT vs Singer (RHP), not ATL @ COL vs Quintana. RvR neutral. PNC kills RHB HRs (factor 0.85). Ozuna 2 HR in 26 G — slow form. Pass.</t>
  </si>
  <si>
    <t xml:space="preserve">Elly De La Cruz</t>
  </si>
  <si>
    <t xml:space="preserve">CIN</t>
  </si>
  <si>
    <t xml:space="preserve">Mitch Keller</t>
  </si>
  <si>
    <t xml:space="preserve">+420</t>
  </si>
  <si>
    <t xml:space="preserve">B+</t>
  </si>
  <si>
    <t xml:space="preserve">EDLC switch hitter, bats L vs RHP — PNC LHB-friendly RF. 10 HR in 31 G (29% HR-per-game). Keller league-avg-ish. Marginal -EV at +420 — bet if FD ≥ +470.</t>
  </si>
  <si>
    <t xml:space="preserve">Oneil Cruz</t>
  </si>
  <si>
    <t xml:space="preserve">+300</t>
  </si>
  <si>
    <t xml:space="preserve">Cruz 22.7% barrel% (top-5 MLB), 9 HR in 30 G (26.7% rate), 99th-pct exit velo. LvR favorable. Singer's sinker keeps balls in but Cruz's hard contact wins. FD too short — wait for +360 to fire.</t>
  </si>
  <si>
    <t xml:space="preserve">Mickey Moniak</t>
  </si>
  <si>
    <t xml:space="preserve">B</t>
  </si>
  <si>
    <t xml:space="preserve">Moniak 8 HR in 25 G (20% rate). LvR favorable, Coors HR factor 1.30. Marginal -EV at +420 — wait for +470.</t>
  </si>
  <si>
    <t xml:space="preserve">Austin Riley</t>
  </si>
  <si>
    <t xml:space="preserve">+390</t>
  </si>
  <si>
    <t xml:space="preserve">Career power. RvL platoon at Coors. Quintana weak. But FD priced him short on his name — slow start (3 HR in 32 G) hasn't been respected. Bet if FD ≥ +470.</t>
  </si>
  <si>
    <t xml:space="preserve">Drake Baldwin</t>
  </si>
  <si>
    <t xml:space="preserve">B-</t>
  </si>
  <si>
    <t xml:space="preserve">Baldwin 7 HR in 32 G (21.9% rate). LvL unfavorable but Coors HR factor 1.30 helps and Quintana weak. Flat EV — coin flip.</t>
  </si>
  <si>
    <t xml:space="preserve">Juan Soto</t>
  </si>
  <si>
    <t xml:space="preserve">NYM</t>
  </si>
  <si>
    <t xml:space="preserve">Walbert Urena</t>
  </si>
  <si>
    <t xml:space="preserve">Angel Stadium</t>
  </si>
  <si>
    <t xml:space="preserve">+370</t>
  </si>
  <si>
    <t xml:space="preserve">Soto hot — .412 BA, 2 HR last 5 games. LvR favorable. Urena 0-3 with 4.76 ERA — weak form. Marginal -EV at +370 — wait for +420.</t>
  </si>
  <si>
    <t xml:space="preserve">Ronald Acuña Jr.</t>
  </si>
  <si>
    <t xml:space="preserve">RvL at Coors normally premium. Acuna 2 HR in 32 G — slow start, FD too aggressive on his name. Skip at +370.</t>
  </si>
  <si>
    <t xml:space="preserve">Cal Raleigh</t>
  </si>
  <si>
    <t xml:space="preserve">SEA</t>
  </si>
  <si>
    <t xml:space="preserve">TBD</t>
  </si>
  <si>
    <t xml:space="preserve">?</t>
  </si>
  <si>
    <t xml:space="preserve">+310</t>
  </si>
  <si>
    <t xml:space="preserve">Need matchup data. 7 HR in 32 G (21.9% rate). FD priced as star — line too short.</t>
  </si>
  <si>
    <t xml:space="preserve">Brandon Lowe</t>
  </si>
  <si>
    <t xml:space="preserve">TEAM CORRECTED — Lowe traded to PIT on 2025-12-19 (no longer on TB). Slashing .278/.400/.678, 186 wRC+ in early 2026. LvR favorable, PNC LHB-friendly RF. Marginal — bet if FD ≥ +500.</t>
  </si>
  <si>
    <t xml:space="preserve">Sal Stewart</t>
  </si>
  <si>
    <t xml:space="preserve">+520</t>
  </si>
  <si>
    <t xml:space="preserve">Stewart 14.8% barrel% (top-5 MLB). RvR neutral. PNC suppresses RHB HRs (factor 0.85). Almost flat EV — close call but slightly under.</t>
  </si>
  <si>
    <t xml:space="preserve">Yordan Alvarez</t>
  </si>
  <si>
    <t xml:space="preserve">HOU</t>
  </si>
  <si>
    <t xml:space="preserve">Fenway Park</t>
  </si>
  <si>
    <t xml:space="preserve">+260</t>
  </si>
  <si>
    <t xml:space="preserve">C+</t>
  </si>
  <si>
    <t xml:space="preserve">Need BOS SP data. Yordan elite but Fenway is LHB-neutral and FD priced him short. Pass without confirmed matchup.</t>
  </si>
  <si>
    <t xml:space="preserve">Vladimir Guerrero Jr.</t>
  </si>
  <si>
    <t xml:space="preserve">TOR</t>
  </si>
  <si>
    <t xml:space="preserve">Target Field</t>
  </si>
  <si>
    <t xml:space="preserve">+450</t>
  </si>
  <si>
    <t xml:space="preserve">Need MIN SP. Vlad elite vs RHP. FD too short on his name.</t>
  </si>
  <si>
    <t xml:space="preserve">Pete Alonso</t>
  </si>
  <si>
    <t xml:space="preserve">BAL</t>
  </si>
  <si>
    <t xml:space="preserve">Will Warren</t>
  </si>
  <si>
    <t xml:space="preserve">+480</t>
  </si>
  <si>
    <t xml:space="preserve">TEAM CORRECTED — Alonso signed with BAL 2025-12-11 (5-yr $155M). Game is BAL @ NYY vs Warren (RHP) at Yankee Stadium. RvR neutral but YS RHB pull factor 1.05. Marginal — bet if FD ≥ +540.</t>
  </si>
  <si>
    <t xml:space="preserve">Brent Rooker</t>
  </si>
  <si>
    <t xml:space="preserve">ATH</t>
  </si>
  <si>
    <t xml:space="preserve">Sutter Health Park</t>
  </si>
  <si>
    <t xml:space="preserve">+440</t>
  </si>
  <si>
    <t xml:space="preserve">Need CLE SP. Park boost helps but FD priced tight.</t>
  </si>
  <si>
    <t xml:space="preserve">Riley Greene</t>
  </si>
  <si>
    <t xml:space="preserve">DET</t>
  </si>
  <si>
    <t xml:space="preserve">Comerica Park</t>
  </si>
  <si>
    <t xml:space="preserve">Need TEX SP. Comerica HR-suppressing.</t>
  </si>
  <si>
    <t xml:space="preserve">Bryce Harper</t>
  </si>
  <si>
    <t xml:space="preserve">PHI</t>
  </si>
  <si>
    <t xml:space="preserve">loanDepot park</t>
  </si>
  <si>
    <t xml:space="preserve">Need MIA SP. loanDepot suppresses HRs.</t>
  </si>
  <si>
    <t xml:space="preserve">Kyle Schwarber</t>
  </si>
  <si>
    <t xml:space="preserve">+380</t>
  </si>
  <si>
    <t xml:space="preserve">Need MIA SP. Schwarber three-true-outcomes player. Park suppresses.</t>
  </si>
  <si>
    <t xml:space="preserve">Shohei Ohtani</t>
  </si>
  <si>
    <t xml:space="preserve">LAD</t>
  </si>
  <si>
    <t xml:space="preserve">Busch Stadium</t>
  </si>
  <si>
    <t xml:space="preserve">+280</t>
  </si>
  <si>
    <t xml:space="preserve">Need STL SP. Busch Stadium suppresses HRs. Public-name premium kills value.</t>
  </si>
  <si>
    <t xml:space="preserve">Mookie Betts</t>
  </si>
  <si>
    <t xml:space="preserve">Park kills RHB HRs in STL. Skip.</t>
  </si>
  <si>
    <t xml:space="preserve">Adley Rutschman</t>
  </si>
  <si>
    <t xml:space="preserve">+550</t>
  </si>
  <si>
    <t xml:space="preserve">Bats L vs RHP. Yankee Stadium LHB short porch. But Warren has been good (3-0). Modest pass.</t>
  </si>
  <si>
    <t xml:space="preserve">Gunnar Henderson</t>
  </si>
  <si>
    <t xml:space="preserve">+360</t>
  </si>
  <si>
    <t xml:space="preserve">Henderson elite vs RHP. Yankee Stadium LHB-friendly. But Warren 3-0 form is strong and FD priced it short.</t>
  </si>
  <si>
    <t xml:space="preserve">Kerry Carpenter</t>
  </si>
  <si>
    <t xml:space="preserve">LHB power. Need TEX SP. Comerica suppresses.</t>
  </si>
  <si>
    <t xml:space="preserve">James Wood</t>
  </si>
  <si>
    <t xml:space="preserve">WSH</t>
  </si>
  <si>
    <t xml:space="preserve">Nationals Park</t>
  </si>
  <si>
    <t xml:space="preserve">+340</t>
  </si>
  <si>
    <t xml:space="preserve">Wood top-5 barrel% MLB. Need MIL SP. FD priced too tight on his hot stretch.</t>
  </si>
  <si>
    <t xml:space="preserve">Anthony Volpe</t>
  </si>
  <si>
    <t xml:space="preserve">+580</t>
  </si>
  <si>
    <t xml:space="preserve">RvL platoon at YS. Lineup spot 9 = fewer PAs. Skip.</t>
  </si>
  <si>
    <t xml:space="preserve">Giancarlo Stanton</t>
  </si>
  <si>
    <t xml:space="preserve">RvL platoon at YS, Stanton 14% barrel%. But FD priced him on his name and YS reputation. Pass at +360.</t>
  </si>
  <si>
    <t xml:space="preserve">Top 15 +EV Single HR Bets — Model v2 vs FanDuel</t>
  </si>
  <si>
    <t xml:space="preserve">Sorted by EV. ⇄ marks reverse-split matchups (model overrides naive L/R platoon).</t>
  </si>
  <si>
    <t xml:space="preserve">Rev</t>
  </si>
  <si>
    <t xml:space="preserve">Why</t>
  </si>
  <si>
    <t xml:space="preserve">Daily HR Pick Tracker — ROI Log</t>
  </si>
  <si>
    <t xml:space="preserve">Log each pick. Set Result (W/L), Stake, FD Odds at bet. ROI auto-calculates.</t>
  </si>
  <si>
    <t xml:space="preserve">Date</t>
  </si>
  <si>
    <t xml:space="preserve">FD Odds (taken)</t>
  </si>
  <si>
    <t xml:space="preserve">Stake $</t>
  </si>
  <si>
    <t xml:space="preserve">Result (W/L)</t>
  </si>
  <si>
    <t xml:space="preserve">Profit $</t>
  </si>
  <si>
    <t xml:space="preserve">Cumulative ROI %</t>
  </si>
  <si>
    <t xml:space="preserve">2026-05-01</t>
  </si>
  <si>
    <t xml:space="preserve">MONITOR (bet only if line lengthens)</t>
  </si>
  <si>
    <t xml:space="preserve">TOTALS</t>
  </si>
  <si>
    <t xml:space="preserve">HR Probability Model v2 — Methodology &amp; Sources</t>
  </si>
  <si>
    <t xml:space="preserve">Section</t>
  </si>
  <si>
    <t xml:space="preserve">Detail</t>
  </si>
  <si>
    <t xml:space="preserve">Probability formula (v2)</t>
  </si>
  <si>
    <t xml:space="preserve">P(HR) = HR/PA-vs-hand × Park HR factor × Pitcher HR/9 mult × Barrel-quality multiplier × Form factor × Expected PA. Barrel-quality is now ~30% of the signal.</t>
  </si>
  <si>
    <t xml:space="preserve">Barrel-quality multiplier (NEW v2)</t>
  </si>
  <si>
    <t xml:space="preserve">Hitter barrel% × pitcher barrel%-allowed, normalized to league avg. League avg hitter barrel ~7.5%; SP allowed ~7.0%. A 14% hitter vs a 9% allow SP boosts P by 35-40%; a 10% vs 6% allow suppresses by 25%.</t>
  </si>
  <si>
    <t xml:space="preserve">Reverse-split flag (NEW v2)</t>
  </si>
  <si>
    <t xml:space="preserve">Triggers when pitcher's same-handed OPS allowed &gt; opposite-handed (e.g., LHP vs LHB). Confirmed today: Bassitt (LHB .844 OPS / RHB .632), Springs (LHB .873 / RHB .783). Naive L/R platoon penalty is REVERSED.</t>
  </si>
  <si>
    <t xml:space="preserve">HR/PA vs hand</t>
  </si>
  <si>
    <t xml:space="preserve">Hitter career or trailing-365-day HR/PA against pitcher handedness. Skewed weighting toward last 60 days for current-form.</t>
  </si>
  <si>
    <t xml:space="preserve">Park HR factor</t>
  </si>
  <si>
    <t xml:space="preserve">3-yr Statcast park HR factor for hitter handedness. Coors 1.30, GAB 1.10, Daikin 1.05, Sutter Health 1.10, Citi 0.96, PNC 0.92 RHB / 1.05 LHB.</t>
  </si>
  <si>
    <t xml:space="preserve">Pitcher HR/9 multiplier</t>
  </si>
  <si>
    <t xml:space="preserve">60% L5 starts + 40% season HR/9, normalized to league avg HR/9 (~1.20). Capped 0.5x–2.0x.</t>
  </si>
  <si>
    <t xml:space="preserve">Form factor</t>
  </si>
  <si>
    <t xml:space="preserve">Capped 0.85–1.20× adjustment based on last-20-PA contact quality (barrel%, hard-hit%, FB%). Drought streaks not boosted.</t>
  </si>
  <si>
    <t xml:space="preserve">Expected PA</t>
  </si>
  <si>
    <t xml:space="preserve">Lineup spot 1–4 → 4.3-4.5 PA. 5–7 → 4.0 PA. 8–9 → 3.5 PA.</t>
  </si>
  <si>
    <t xml:space="preserve">Fair odds calc</t>
  </si>
  <si>
    <t xml:space="preserve">If P &lt; 0.50: Fair Odds (American) = +(1−P)/P × 100. If P ≥ 0.50: Fair Odds = −P/(1−P) × 100.</t>
  </si>
  <si>
    <t xml:space="preserve">EV % calc</t>
  </si>
  <si>
    <t xml:space="preserve">EV = P × FD payout − (1−P). +EV if EV% &gt; 0. Recommended action: BET if EV ≥ +5% with confidence ≥ B−.</t>
  </si>
  <si>
    <t xml:space="preserve">Confidence grades</t>
  </si>
  <si>
    <t xml:space="preserve">A = high data confidence + strong matchup. A− = strong matchup w/ one caveat. B+/B = above-avg edge. C = marginal. D/F = avoid.</t>
  </si>
  <si>
    <t xml:space="preserve">Avoiding 'due' logic</t>
  </si>
  <si>
    <t xml:space="preserve">Model explicitly does NOT boost players for HR drought. Recent HR streaks only count when supported by sustained barrel/hard-hit data.</t>
  </si>
  <si>
    <t xml:space="preserve">Today's data sources</t>
  </si>
  <si>
    <t xml:space="preserve">FanDuel Research (HR props), DK Network probable pitchers, Covers, SBR, FanGraphs splits, Baseball Savant Statcast leaderboard, Pitcher List Cardinals breakdown.</t>
  </si>
  <si>
    <t xml:space="preserve">v2 changes (today)</t>
  </si>
  <si>
    <t xml:space="preserve">Added barrel% as primary input. Confirmed Bassitt + Springs reverse splits. Corrected park for CIN/COL game (GAB not Coors). Added Sal Stewart, Oneil Cruz to slate. Downgraded ATL hitters vs Valdez (5.5% barrel% allowed).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</si>
</sst>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0.0%"/>
    <numFmt numFmtId="168" formatCode="0.0%;[RED]\(0.0%\)"/>
    <numFmt numFmtId="169" formatCode="\$#,##0.00"/>
    <numFmt numFmtId="170" formatCode="\$#,##0.00;[RED]&quot;($&quot;#,##0.0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5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6" min="16" style="0" width="9"/>
    <col collapsed="false" customWidth="true" hidden="false" outlineLevel="0" max="17" min="17" style="0" width="7"/>
    <col collapsed="false" customWidth="true" hidden="false" outlineLevel="0" max="18" min="18" style="0" width="5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49.5" hidden="false" customHeight="true" outlineLevel="0" collapsed="false">
      <c r="A5" s="4" t="n">
        <v>1</v>
      </c>
      <c r="B5" s="5" t="s">
        <v>20</v>
      </c>
      <c r="C5" s="6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7" t="n">
        <v>1.3</v>
      </c>
      <c r="J5" s="8" t="n">
        <v>9.5</v>
      </c>
      <c r="K5" s="8" t="n">
        <v>9</v>
      </c>
      <c r="L5" s="4" t="s">
        <v>27</v>
      </c>
      <c r="M5" s="9" t="n">
        <v>0.24</v>
      </c>
      <c r="N5" s="4" t="str">
        <f aca="false">IF(M5&lt;0.5,"+"&amp;ROUND((1-M5)/M5*100,0),"-"&amp;ROUND(M5/(1-M5)*100,0))</f>
        <v>+317</v>
      </c>
      <c r="O5" s="4" t="s">
        <v>28</v>
      </c>
      <c r="P5" s="10" t="n">
        <f aca="false">IF(LEFT(O5,1)="+", M5*(VALUE(MID(O5,2,10))/100) - (1-M5), M5 - (1-M5)*(100/VALUE(MID(O5,2,10))))</f>
        <v>0.416</v>
      </c>
      <c r="Q5" s="4" t="s">
        <v>29</v>
      </c>
      <c r="R5" s="11" t="s">
        <v>30</v>
      </c>
    </row>
    <row r="6" customFormat="false" ht="49.5" hidden="false" customHeight="true" outlineLevel="0" collapsed="false">
      <c r="A6" s="4" t="n">
        <v>2</v>
      </c>
      <c r="B6" s="12" t="s">
        <v>31</v>
      </c>
      <c r="C6" s="6" t="s">
        <v>32</v>
      </c>
      <c r="D6" s="4" t="s">
        <v>33</v>
      </c>
      <c r="E6" s="4" t="s">
        <v>34</v>
      </c>
      <c r="F6" s="4" t="s">
        <v>35</v>
      </c>
      <c r="G6" s="4" t="s">
        <v>25</v>
      </c>
      <c r="H6" s="4" t="s">
        <v>36</v>
      </c>
      <c r="I6" s="7" t="n">
        <v>1.12</v>
      </c>
      <c r="J6" s="8" t="n">
        <v>14.2</v>
      </c>
      <c r="K6" s="8" t="n">
        <v>9.5</v>
      </c>
      <c r="L6" s="4" t="s">
        <v>27</v>
      </c>
      <c r="M6" s="9" t="n">
        <v>0.28</v>
      </c>
      <c r="N6" s="4" t="str">
        <f aca="false">IF(M6&lt;0.5,"+"&amp;ROUND((1-M6)/M6*100,0),"-"&amp;ROUND(M6/(1-M6)*100,0))</f>
        <v>+257</v>
      </c>
      <c r="O6" s="4" t="s">
        <v>37</v>
      </c>
      <c r="P6" s="10" t="n">
        <f aca="false">IF(LEFT(O6,1)="+", M6*(VALUE(MID(O6,2,10))/100) - (1-M6), M6 - (1-M6)*(100/VALUE(MID(O6,2,10))))</f>
        <v>-0.104</v>
      </c>
      <c r="Q6" s="4" t="s">
        <v>29</v>
      </c>
      <c r="R6" s="11" t="s">
        <v>38</v>
      </c>
    </row>
    <row r="7" customFormat="false" ht="49.5" hidden="false" customHeight="true" outlineLevel="0" collapsed="false">
      <c r="A7" s="4" t="n">
        <v>3</v>
      </c>
      <c r="B7" s="5" t="s">
        <v>20</v>
      </c>
      <c r="C7" s="6" t="s">
        <v>39</v>
      </c>
      <c r="D7" s="4" t="s">
        <v>40</v>
      </c>
      <c r="E7" s="4" t="s">
        <v>34</v>
      </c>
      <c r="F7" s="4" t="s">
        <v>41</v>
      </c>
      <c r="G7" s="4" t="s">
        <v>34</v>
      </c>
      <c r="H7" s="4" t="s">
        <v>26</v>
      </c>
      <c r="I7" s="7" t="n">
        <v>1.3</v>
      </c>
      <c r="J7" s="8" t="n">
        <v>11.5</v>
      </c>
      <c r="K7" s="8" t="n">
        <v>8</v>
      </c>
      <c r="L7" s="4" t="s">
        <v>27</v>
      </c>
      <c r="M7" s="9" t="n">
        <v>0.22</v>
      </c>
      <c r="N7" s="4" t="str">
        <f aca="false">IF(M7&lt;0.5,"+"&amp;ROUND((1-M7)/M7*100,0),"-"&amp;ROUND(M7/(1-M7)*100,0))</f>
        <v>+355</v>
      </c>
      <c r="O7" s="4" t="s">
        <v>42</v>
      </c>
      <c r="P7" s="10" t="n">
        <f aca="false">IF(LEFT(O7,1)="+", M7*(VALUE(MID(O7,2,10))/100) - (1-M7), M7 - (1-M7)*(100/VALUE(MID(O7,2,10))))</f>
        <v>0.254</v>
      </c>
      <c r="Q7" s="4" t="s">
        <v>43</v>
      </c>
      <c r="R7" s="11" t="s">
        <v>44</v>
      </c>
    </row>
    <row r="8" customFormat="false" ht="49.5" hidden="false" customHeight="true" outlineLevel="0" collapsed="false">
      <c r="A8" s="4" t="n">
        <v>4</v>
      </c>
      <c r="B8" s="13" t="s">
        <v>45</v>
      </c>
      <c r="C8" s="6" t="s">
        <v>46</v>
      </c>
      <c r="D8" s="4" t="s">
        <v>47</v>
      </c>
      <c r="E8" s="4" t="s">
        <v>34</v>
      </c>
      <c r="F8" s="4" t="s">
        <v>48</v>
      </c>
      <c r="G8" s="4" t="s">
        <v>34</v>
      </c>
      <c r="H8" s="4" t="s">
        <v>49</v>
      </c>
      <c r="I8" s="7" t="n">
        <v>0.85</v>
      </c>
      <c r="J8" s="8" t="n">
        <v>10</v>
      </c>
      <c r="K8" s="8" t="n">
        <v>8</v>
      </c>
      <c r="L8" s="4" t="s">
        <v>27</v>
      </c>
      <c r="M8" s="9" t="n">
        <v>0.09</v>
      </c>
      <c r="N8" s="4" t="str">
        <f aca="false">IF(M8&lt;0.5,"+"&amp;ROUND((1-M8)/M8*100,0),"-"&amp;ROUND(M8/(1-M8)*100,0))</f>
        <v>+1011</v>
      </c>
      <c r="O8" s="4" t="s">
        <v>50</v>
      </c>
      <c r="P8" s="10" t="n">
        <f aca="false">IF(LEFT(O8,1)="+", M8*(VALUE(MID(O8,2,10))/100) - (1-M8), M8 - (1-M8)*(100/VALUE(MID(O8,2,10))))</f>
        <v>-0.271</v>
      </c>
      <c r="Q8" s="4" t="s">
        <v>51</v>
      </c>
      <c r="R8" s="11" t="s">
        <v>52</v>
      </c>
    </row>
    <row r="9" customFormat="false" ht="49.5" hidden="false" customHeight="true" outlineLevel="0" collapsed="false">
      <c r="A9" s="4" t="n">
        <v>5</v>
      </c>
      <c r="B9" s="12" t="s">
        <v>31</v>
      </c>
      <c r="C9" s="6" t="s">
        <v>53</v>
      </c>
      <c r="D9" s="4" t="s">
        <v>54</v>
      </c>
      <c r="E9" s="4" t="s">
        <v>23</v>
      </c>
      <c r="F9" s="4" t="s">
        <v>55</v>
      </c>
      <c r="G9" s="4" t="s">
        <v>34</v>
      </c>
      <c r="H9" s="4" t="s">
        <v>49</v>
      </c>
      <c r="I9" s="7" t="n">
        <v>0.95</v>
      </c>
      <c r="J9" s="8" t="n">
        <v>13.5</v>
      </c>
      <c r="K9" s="8" t="n">
        <v>8.5</v>
      </c>
      <c r="L9" s="4" t="s">
        <v>27</v>
      </c>
      <c r="M9" s="9" t="n">
        <v>0.18</v>
      </c>
      <c r="N9" s="4" t="str">
        <f aca="false">IF(M9&lt;0.5,"+"&amp;ROUND((1-M9)/M9*100,0),"-"&amp;ROUND(M9/(1-M9)*100,0))</f>
        <v>+456</v>
      </c>
      <c r="O9" s="4" t="s">
        <v>56</v>
      </c>
      <c r="P9" s="10" t="n">
        <f aca="false">IF(LEFT(O9,1)="+", M9*(VALUE(MID(O9,2,10))/100) - (1-M9), M9 - (1-M9)*(100/VALUE(MID(O9,2,10))))</f>
        <v>-0.0640000000000001</v>
      </c>
      <c r="Q9" s="4" t="s">
        <v>57</v>
      </c>
      <c r="R9" s="11" t="s">
        <v>58</v>
      </c>
    </row>
    <row r="10" customFormat="false" ht="49.5" hidden="false" customHeight="true" outlineLevel="0" collapsed="false">
      <c r="A10" s="4" t="n">
        <v>6</v>
      </c>
      <c r="B10" s="12" t="s">
        <v>31</v>
      </c>
      <c r="C10" s="6" t="s">
        <v>59</v>
      </c>
      <c r="D10" s="4" t="s">
        <v>47</v>
      </c>
      <c r="E10" s="4" t="s">
        <v>25</v>
      </c>
      <c r="F10" s="4" t="s">
        <v>48</v>
      </c>
      <c r="G10" s="4" t="s">
        <v>34</v>
      </c>
      <c r="H10" s="4" t="s">
        <v>49</v>
      </c>
      <c r="I10" s="7" t="n">
        <v>1.05</v>
      </c>
      <c r="J10" s="8" t="n">
        <v>22.7</v>
      </c>
      <c r="K10" s="8" t="n">
        <v>8</v>
      </c>
      <c r="L10" s="4" t="s">
        <v>27</v>
      </c>
      <c r="M10" s="9" t="n">
        <v>0.22</v>
      </c>
      <c r="N10" s="4" t="str">
        <f aca="false">IF(M10&lt;0.5,"+"&amp;ROUND((1-M10)/M10*100,0),"-"&amp;ROUND(M10/(1-M10)*100,0))</f>
        <v>+355</v>
      </c>
      <c r="O10" s="4" t="s">
        <v>60</v>
      </c>
      <c r="P10" s="10" t="n">
        <f aca="false">IF(LEFT(O10,1)="+", M10*(VALUE(MID(O10,2,10))/100) - (1-M10), M10 - (1-M10)*(100/VALUE(MID(O10,2,10))))</f>
        <v>-0.12</v>
      </c>
      <c r="Q10" s="4" t="s">
        <v>43</v>
      </c>
      <c r="R10" s="11" t="s">
        <v>61</v>
      </c>
    </row>
    <row r="11" customFormat="false" ht="49.5" hidden="false" customHeight="true" outlineLevel="0" collapsed="false">
      <c r="A11" s="4" t="n">
        <v>7</v>
      </c>
      <c r="B11" s="12" t="s">
        <v>31</v>
      </c>
      <c r="C11" s="6" t="s">
        <v>62</v>
      </c>
      <c r="D11" s="4" t="s">
        <v>40</v>
      </c>
      <c r="E11" s="4" t="s">
        <v>25</v>
      </c>
      <c r="F11" s="4" t="s">
        <v>41</v>
      </c>
      <c r="G11" s="4" t="s">
        <v>34</v>
      </c>
      <c r="H11" s="4" t="s">
        <v>26</v>
      </c>
      <c r="I11" s="7" t="n">
        <v>1.3</v>
      </c>
      <c r="J11" s="8" t="n">
        <v>10</v>
      </c>
      <c r="K11" s="8" t="n">
        <v>8</v>
      </c>
      <c r="L11" s="4" t="s">
        <v>27</v>
      </c>
      <c r="M11" s="9" t="n">
        <v>0.18</v>
      </c>
      <c r="N11" s="4" t="str">
        <f aca="false">IF(M11&lt;0.5,"+"&amp;ROUND((1-M11)/M11*100,0),"-"&amp;ROUND(M11/(1-M11)*100,0))</f>
        <v>+456</v>
      </c>
      <c r="O11" s="4" t="s">
        <v>56</v>
      </c>
      <c r="P11" s="10" t="n">
        <f aca="false">IF(LEFT(O11,1)="+", M11*(VALUE(MID(O11,2,10))/100) - (1-M11), M11 - (1-M11)*(100/VALUE(MID(O11,2,10))))</f>
        <v>-0.0640000000000001</v>
      </c>
      <c r="Q11" s="4" t="s">
        <v>63</v>
      </c>
      <c r="R11" s="11" t="s">
        <v>64</v>
      </c>
    </row>
    <row r="12" customFormat="false" ht="49.5" hidden="false" customHeight="true" outlineLevel="0" collapsed="false">
      <c r="A12" s="4" t="n">
        <v>8</v>
      </c>
      <c r="B12" s="12" t="s">
        <v>31</v>
      </c>
      <c r="C12" s="6" t="s">
        <v>65</v>
      </c>
      <c r="D12" s="4" t="s">
        <v>22</v>
      </c>
      <c r="E12" s="4" t="s">
        <v>34</v>
      </c>
      <c r="F12" s="4" t="s">
        <v>24</v>
      </c>
      <c r="G12" s="4" t="s">
        <v>25</v>
      </c>
      <c r="H12" s="4" t="s">
        <v>26</v>
      </c>
      <c r="I12" s="7" t="n">
        <v>1.3</v>
      </c>
      <c r="J12" s="8" t="n">
        <v>12</v>
      </c>
      <c r="K12" s="8" t="n">
        <v>9</v>
      </c>
      <c r="L12" s="4" t="s">
        <v>27</v>
      </c>
      <c r="M12" s="9" t="n">
        <v>0.17</v>
      </c>
      <c r="N12" s="4" t="str">
        <f aca="false">IF(M12&lt;0.5,"+"&amp;ROUND((1-M12)/M12*100,0),"-"&amp;ROUND(M12/(1-M12)*100,0))</f>
        <v>+488</v>
      </c>
      <c r="O12" s="4" t="s">
        <v>66</v>
      </c>
      <c r="P12" s="10" t="n">
        <f aca="false">IF(LEFT(O12,1)="+", M12*(VALUE(MID(O12,2,10))/100) - (1-M12), M12 - (1-M12)*(100/VALUE(MID(O12,2,10))))</f>
        <v>-0.167</v>
      </c>
      <c r="Q12" s="4" t="s">
        <v>63</v>
      </c>
      <c r="R12" s="11" t="s">
        <v>67</v>
      </c>
    </row>
    <row r="13" customFormat="false" ht="49.5" hidden="false" customHeight="true" outlineLevel="0" collapsed="false">
      <c r="A13" s="4" t="n">
        <v>9</v>
      </c>
      <c r="B13" s="12" t="s">
        <v>31</v>
      </c>
      <c r="C13" s="6" t="s">
        <v>68</v>
      </c>
      <c r="D13" s="4" t="s">
        <v>22</v>
      </c>
      <c r="E13" s="4" t="s">
        <v>25</v>
      </c>
      <c r="F13" s="4" t="s">
        <v>24</v>
      </c>
      <c r="G13" s="4" t="s">
        <v>25</v>
      </c>
      <c r="H13" s="4" t="s">
        <v>26</v>
      </c>
      <c r="I13" s="7" t="n">
        <v>1.3</v>
      </c>
      <c r="J13" s="8" t="n">
        <v>12</v>
      </c>
      <c r="K13" s="8" t="n">
        <v>9</v>
      </c>
      <c r="L13" s="4" t="s">
        <v>27</v>
      </c>
      <c r="M13" s="9" t="n">
        <v>0.17</v>
      </c>
      <c r="N13" s="4" t="str">
        <f aca="false">IF(M13&lt;0.5,"+"&amp;ROUND((1-M13)/M13*100,0),"-"&amp;ROUND(M13/(1-M13)*100,0))</f>
        <v>+488</v>
      </c>
      <c r="O13" s="4" t="s">
        <v>28</v>
      </c>
      <c r="P13" s="10" t="n">
        <f aca="false">IF(LEFT(O13,1)="+", M13*(VALUE(MID(O13,2,10))/100) - (1-M13), M13 - (1-M13)*(100/VALUE(MID(O13,2,10))))</f>
        <v>0.00300000000000011</v>
      </c>
      <c r="Q13" s="4" t="s">
        <v>69</v>
      </c>
      <c r="R13" s="11" t="s">
        <v>70</v>
      </c>
    </row>
    <row r="14" customFormat="false" ht="49.5" hidden="false" customHeight="true" outlineLevel="0" collapsed="false">
      <c r="A14" s="4" t="n">
        <v>10</v>
      </c>
      <c r="B14" s="12" t="s">
        <v>31</v>
      </c>
      <c r="C14" s="6" t="s">
        <v>71</v>
      </c>
      <c r="D14" s="4" t="s">
        <v>72</v>
      </c>
      <c r="E14" s="4" t="s">
        <v>25</v>
      </c>
      <c r="F14" s="4" t="s">
        <v>73</v>
      </c>
      <c r="G14" s="4" t="s">
        <v>34</v>
      </c>
      <c r="H14" s="4" t="s">
        <v>74</v>
      </c>
      <c r="I14" s="7" t="n">
        <v>1.02</v>
      </c>
      <c r="J14" s="8" t="n">
        <v>13</v>
      </c>
      <c r="K14" s="8" t="n">
        <v>9.5</v>
      </c>
      <c r="L14" s="4" t="s">
        <v>27</v>
      </c>
      <c r="M14" s="9" t="n">
        <v>0.2</v>
      </c>
      <c r="N14" s="4" t="str">
        <f aca="false">IF(M14&lt;0.5,"+"&amp;ROUND((1-M14)/M14*100,0),"-"&amp;ROUND(M14/(1-M14)*100,0))</f>
        <v>+400</v>
      </c>
      <c r="O14" s="4" t="s">
        <v>75</v>
      </c>
      <c r="P14" s="10" t="n">
        <f aca="false">IF(LEFT(O14,1)="+", M14*(VALUE(MID(O14,2,10))/100) - (1-M14), M14 - (1-M14)*(100/VALUE(MID(O14,2,10))))</f>
        <v>-0.0599999999999999</v>
      </c>
      <c r="Q14" s="4" t="s">
        <v>57</v>
      </c>
      <c r="R14" s="11" t="s">
        <v>76</v>
      </c>
    </row>
    <row r="15" customFormat="false" ht="49.5" hidden="false" customHeight="true" outlineLevel="0" collapsed="false">
      <c r="A15" s="4" t="n">
        <v>11</v>
      </c>
      <c r="B15" s="12" t="s">
        <v>31</v>
      </c>
      <c r="C15" s="6" t="s">
        <v>77</v>
      </c>
      <c r="D15" s="4" t="s">
        <v>22</v>
      </c>
      <c r="E15" s="4" t="s">
        <v>34</v>
      </c>
      <c r="F15" s="4" t="s">
        <v>24</v>
      </c>
      <c r="G15" s="4" t="s">
        <v>25</v>
      </c>
      <c r="H15" s="4" t="s">
        <v>26</v>
      </c>
      <c r="I15" s="7" t="n">
        <v>1.3</v>
      </c>
      <c r="J15" s="8" t="n">
        <v>12</v>
      </c>
      <c r="K15" s="8" t="n">
        <v>9</v>
      </c>
      <c r="L15" s="4" t="s">
        <v>27</v>
      </c>
      <c r="M15" s="9" t="n">
        <v>0.16</v>
      </c>
      <c r="N15" s="4" t="str">
        <f aca="false">IF(M15&lt;0.5,"+"&amp;ROUND((1-M15)/M15*100,0),"-"&amp;ROUND(M15/(1-M15)*100,0))</f>
        <v>+525</v>
      </c>
      <c r="O15" s="4" t="s">
        <v>75</v>
      </c>
      <c r="P15" s="10" t="n">
        <f aca="false">IF(LEFT(O15,1)="+", M15*(VALUE(MID(O15,2,10))/100) - (1-M15), M15 - (1-M15)*(100/VALUE(MID(O15,2,10))))</f>
        <v>-0.248</v>
      </c>
      <c r="Q15" s="4" t="s">
        <v>63</v>
      </c>
      <c r="R15" s="11" t="s">
        <v>78</v>
      </c>
    </row>
    <row r="16" customFormat="false" ht="49.5" hidden="false" customHeight="true" outlineLevel="0" collapsed="false">
      <c r="A16" s="4" t="n">
        <v>12</v>
      </c>
      <c r="B16" s="13" t="s">
        <v>45</v>
      </c>
      <c r="C16" s="6" t="s">
        <v>79</v>
      </c>
      <c r="D16" s="4" t="s">
        <v>80</v>
      </c>
      <c r="E16" s="4" t="s">
        <v>23</v>
      </c>
      <c r="F16" s="4" t="s">
        <v>81</v>
      </c>
      <c r="G16" s="4" t="s">
        <v>82</v>
      </c>
      <c r="H16" s="4" t="s">
        <v>81</v>
      </c>
      <c r="I16" s="7" t="n">
        <v>1</v>
      </c>
      <c r="J16" s="8" t="n">
        <v>12</v>
      </c>
      <c r="K16" s="8"/>
      <c r="L16" s="4" t="s">
        <v>27</v>
      </c>
      <c r="M16" s="9" t="n">
        <v>0.16</v>
      </c>
      <c r="N16" s="4" t="str">
        <f aca="false">IF(M16&lt;0.5,"+"&amp;ROUND((1-M16)/M16*100,0),"-"&amp;ROUND(M16/(1-M16)*100,0))</f>
        <v>+525</v>
      </c>
      <c r="O16" s="4" t="s">
        <v>83</v>
      </c>
      <c r="P16" s="10" t="n">
        <f aca="false">IF(LEFT(O16,1)="+", M16*(VALUE(MID(O16,2,10))/100) - (1-M16), M16 - (1-M16)*(100/VALUE(MID(O16,2,10))))</f>
        <v>-0.344</v>
      </c>
      <c r="Q16" s="4" t="s">
        <v>51</v>
      </c>
      <c r="R16" s="11" t="s">
        <v>84</v>
      </c>
    </row>
    <row r="17" customFormat="false" ht="49.5" hidden="false" customHeight="true" outlineLevel="0" collapsed="false">
      <c r="A17" s="4" t="n">
        <v>13</v>
      </c>
      <c r="B17" s="12" t="s">
        <v>31</v>
      </c>
      <c r="C17" s="6" t="s">
        <v>85</v>
      </c>
      <c r="D17" s="4" t="s">
        <v>47</v>
      </c>
      <c r="E17" s="4" t="s">
        <v>25</v>
      </c>
      <c r="F17" s="4" t="s">
        <v>48</v>
      </c>
      <c r="G17" s="4" t="s">
        <v>34</v>
      </c>
      <c r="H17" s="4" t="s">
        <v>49</v>
      </c>
      <c r="I17" s="7" t="n">
        <v>1.05</v>
      </c>
      <c r="J17" s="8" t="n">
        <v>12</v>
      </c>
      <c r="K17" s="8" t="n">
        <v>8</v>
      </c>
      <c r="L17" s="4" t="s">
        <v>27</v>
      </c>
      <c r="M17" s="9" t="n">
        <v>0.17</v>
      </c>
      <c r="N17" s="4" t="str">
        <f aca="false">IF(M17&lt;0.5,"+"&amp;ROUND((1-M17)/M17*100,0),"-"&amp;ROUND(M17/(1-M17)*100,0))</f>
        <v>+488</v>
      </c>
      <c r="O17" s="4" t="s">
        <v>28</v>
      </c>
      <c r="P17" s="10" t="n">
        <f aca="false">IF(LEFT(O17,1)="+", M17*(VALUE(MID(O17,2,10))/100) - (1-M17), M17 - (1-M17)*(100/VALUE(MID(O17,2,10))))</f>
        <v>0.00300000000000011</v>
      </c>
      <c r="Q17" s="4" t="s">
        <v>69</v>
      </c>
      <c r="R17" s="11" t="s">
        <v>86</v>
      </c>
    </row>
    <row r="18" customFormat="false" ht="49.5" hidden="false" customHeight="true" outlineLevel="0" collapsed="false">
      <c r="A18" s="4" t="n">
        <v>14</v>
      </c>
      <c r="B18" s="13" t="s">
        <v>45</v>
      </c>
      <c r="C18" s="6" t="s">
        <v>87</v>
      </c>
      <c r="D18" s="4" t="s">
        <v>54</v>
      </c>
      <c r="E18" s="4" t="s">
        <v>34</v>
      </c>
      <c r="F18" s="4" t="s">
        <v>55</v>
      </c>
      <c r="G18" s="4" t="s">
        <v>34</v>
      </c>
      <c r="H18" s="4" t="s">
        <v>49</v>
      </c>
      <c r="I18" s="7" t="n">
        <v>0.95</v>
      </c>
      <c r="J18" s="8" t="n">
        <v>14.8</v>
      </c>
      <c r="K18" s="8" t="n">
        <v>8.5</v>
      </c>
      <c r="L18" s="4" t="s">
        <v>27</v>
      </c>
      <c r="M18" s="9" t="n">
        <v>0.16</v>
      </c>
      <c r="N18" s="4" t="str">
        <f aca="false">IF(M18&lt;0.5,"+"&amp;ROUND((1-M18)/M18*100,0),"-"&amp;ROUND(M18/(1-M18)*100,0))</f>
        <v>+525</v>
      </c>
      <c r="O18" s="4" t="s">
        <v>88</v>
      </c>
      <c r="P18" s="10" t="n">
        <f aca="false">IF(LEFT(O18,1)="+", M18*(VALUE(MID(O18,2,10))/100) - (1-M18), M18 - (1-M18)*(100/VALUE(MID(O18,2,10))))</f>
        <v>-0.0079999999999999</v>
      </c>
      <c r="Q18" s="4" t="s">
        <v>63</v>
      </c>
      <c r="R18" s="11" t="s">
        <v>89</v>
      </c>
    </row>
    <row r="19" customFormat="false" ht="49.5" hidden="false" customHeight="true" outlineLevel="0" collapsed="false">
      <c r="A19" s="4" t="n">
        <v>15</v>
      </c>
      <c r="B19" s="13" t="s">
        <v>45</v>
      </c>
      <c r="C19" s="6" t="s">
        <v>90</v>
      </c>
      <c r="D19" s="4" t="s">
        <v>91</v>
      </c>
      <c r="E19" s="4" t="s">
        <v>25</v>
      </c>
      <c r="F19" s="4" t="s">
        <v>81</v>
      </c>
      <c r="G19" s="4" t="s">
        <v>82</v>
      </c>
      <c r="H19" s="4" t="s">
        <v>92</v>
      </c>
      <c r="I19" s="7" t="n">
        <v>1.05</v>
      </c>
      <c r="J19" s="8" t="n">
        <v>14</v>
      </c>
      <c r="K19" s="8"/>
      <c r="L19" s="4" t="s">
        <v>27</v>
      </c>
      <c r="M19" s="9" t="n">
        <v>0.2</v>
      </c>
      <c r="N19" s="4" t="str">
        <f aca="false">IF(M19&lt;0.5,"+"&amp;ROUND((1-M19)/M19*100,0),"-"&amp;ROUND(M19/(1-M19)*100,0))</f>
        <v>+400</v>
      </c>
      <c r="O19" s="4" t="s">
        <v>93</v>
      </c>
      <c r="P19" s="10" t="n">
        <f aca="false">IF(LEFT(O19,1)="+", M19*(VALUE(MID(O19,2,10))/100) - (1-M19), M19 - (1-M19)*(100/VALUE(MID(O19,2,10))))</f>
        <v>-0.28</v>
      </c>
      <c r="Q19" s="4" t="s">
        <v>94</v>
      </c>
      <c r="R19" s="11" t="s">
        <v>95</v>
      </c>
    </row>
    <row r="20" customFormat="false" ht="49.5" hidden="false" customHeight="true" outlineLevel="0" collapsed="false">
      <c r="A20" s="4" t="n">
        <v>16</v>
      </c>
      <c r="B20" s="13" t="s">
        <v>45</v>
      </c>
      <c r="C20" s="6" t="s">
        <v>96</v>
      </c>
      <c r="D20" s="4" t="s">
        <v>97</v>
      </c>
      <c r="E20" s="4" t="s">
        <v>34</v>
      </c>
      <c r="F20" s="4" t="s">
        <v>81</v>
      </c>
      <c r="G20" s="4" t="s">
        <v>82</v>
      </c>
      <c r="H20" s="4" t="s">
        <v>98</v>
      </c>
      <c r="I20" s="7" t="n">
        <v>0.98</v>
      </c>
      <c r="J20" s="8" t="n">
        <v>11</v>
      </c>
      <c r="K20" s="8"/>
      <c r="L20" s="4" t="s">
        <v>27</v>
      </c>
      <c r="M20" s="9" t="n">
        <v>0.13</v>
      </c>
      <c r="N20" s="4" t="str">
        <f aca="false">IF(M20&lt;0.5,"+"&amp;ROUND((1-M20)/M20*100,0),"-"&amp;ROUND(M20/(1-M20)*100,0))</f>
        <v>+669</v>
      </c>
      <c r="O20" s="4" t="s">
        <v>99</v>
      </c>
      <c r="P20" s="10" t="n">
        <f aca="false">IF(LEFT(O20,1)="+", M20*(VALUE(MID(O20,2,10))/100) - (1-M20), M20 - (1-M20)*(100/VALUE(MID(O20,2,10))))</f>
        <v>-0.285</v>
      </c>
      <c r="Q20" s="4" t="s">
        <v>51</v>
      </c>
      <c r="R20" s="11" t="s">
        <v>100</v>
      </c>
    </row>
    <row r="21" customFormat="false" ht="49.5" hidden="false" customHeight="true" outlineLevel="0" collapsed="false">
      <c r="A21" s="4" t="n">
        <v>17</v>
      </c>
      <c r="B21" s="12" t="s">
        <v>31</v>
      </c>
      <c r="C21" s="6" t="s">
        <v>101</v>
      </c>
      <c r="D21" s="4" t="s">
        <v>102</v>
      </c>
      <c r="E21" s="4" t="s">
        <v>34</v>
      </c>
      <c r="F21" s="4" t="s">
        <v>103</v>
      </c>
      <c r="G21" s="4" t="s">
        <v>34</v>
      </c>
      <c r="H21" s="4" t="s">
        <v>36</v>
      </c>
      <c r="I21" s="7" t="n">
        <v>1.05</v>
      </c>
      <c r="J21" s="8" t="n">
        <v>13</v>
      </c>
      <c r="K21" s="8" t="n">
        <v>8.5</v>
      </c>
      <c r="L21" s="4" t="s">
        <v>27</v>
      </c>
      <c r="M21" s="9" t="n">
        <v>0.16</v>
      </c>
      <c r="N21" s="4" t="str">
        <f aca="false">IF(M21&lt;0.5,"+"&amp;ROUND((1-M21)/M21*100,0),"-"&amp;ROUND(M21/(1-M21)*100,0))</f>
        <v>+525</v>
      </c>
      <c r="O21" s="4" t="s">
        <v>104</v>
      </c>
      <c r="P21" s="10" t="n">
        <f aca="false">IF(LEFT(O21,1)="+", M21*(VALUE(MID(O21,2,10))/100) - (1-M21), M21 - (1-M21)*(100/VALUE(MID(O21,2,10))))</f>
        <v>-0.072</v>
      </c>
      <c r="Q21" s="4" t="s">
        <v>69</v>
      </c>
      <c r="R21" s="11" t="s">
        <v>105</v>
      </c>
    </row>
    <row r="22" customFormat="false" ht="49.5" hidden="false" customHeight="true" outlineLevel="0" collapsed="false">
      <c r="A22" s="4" t="n">
        <v>18</v>
      </c>
      <c r="B22" s="13" t="s">
        <v>45</v>
      </c>
      <c r="C22" s="6" t="s">
        <v>106</v>
      </c>
      <c r="D22" s="4" t="s">
        <v>107</v>
      </c>
      <c r="E22" s="4" t="s">
        <v>34</v>
      </c>
      <c r="F22" s="4" t="s">
        <v>81</v>
      </c>
      <c r="G22" s="4" t="s">
        <v>82</v>
      </c>
      <c r="H22" s="4" t="s">
        <v>108</v>
      </c>
      <c r="I22" s="7" t="n">
        <v>1.1</v>
      </c>
      <c r="J22" s="8" t="n">
        <v>12</v>
      </c>
      <c r="K22" s="8"/>
      <c r="L22" s="4" t="s">
        <v>27</v>
      </c>
      <c r="M22" s="9" t="n">
        <v>0.14</v>
      </c>
      <c r="N22" s="4" t="str">
        <f aca="false">IF(M22&lt;0.5,"+"&amp;ROUND((1-M22)/M22*100,0),"-"&amp;ROUND(M22/(1-M22)*100,0))</f>
        <v>+614</v>
      </c>
      <c r="O22" s="4" t="s">
        <v>109</v>
      </c>
      <c r="P22" s="10" t="n">
        <f aca="false">IF(LEFT(O22,1)="+", M22*(VALUE(MID(O22,2,10))/100) - (1-M22), M22 - (1-M22)*(100/VALUE(MID(O22,2,10))))</f>
        <v>-0.244</v>
      </c>
      <c r="Q22" s="4" t="s">
        <v>51</v>
      </c>
      <c r="R22" s="11" t="s">
        <v>110</v>
      </c>
    </row>
    <row r="23" customFormat="false" ht="49.5" hidden="false" customHeight="true" outlineLevel="0" collapsed="false">
      <c r="A23" s="4" t="n">
        <v>19</v>
      </c>
      <c r="B23" s="13" t="s">
        <v>45</v>
      </c>
      <c r="C23" s="6" t="s">
        <v>111</v>
      </c>
      <c r="D23" s="4" t="s">
        <v>112</v>
      </c>
      <c r="E23" s="4" t="s">
        <v>25</v>
      </c>
      <c r="F23" s="4" t="s">
        <v>81</v>
      </c>
      <c r="G23" s="4" t="s">
        <v>82</v>
      </c>
      <c r="H23" s="4" t="s">
        <v>113</v>
      </c>
      <c r="I23" s="7" t="n">
        <v>0.94</v>
      </c>
      <c r="J23" s="8" t="n">
        <v>11</v>
      </c>
      <c r="K23" s="8"/>
      <c r="L23" s="4" t="s">
        <v>27</v>
      </c>
      <c r="M23" s="9" t="n">
        <v>0.11</v>
      </c>
      <c r="N23" s="4" t="str">
        <f aca="false">IF(M23&lt;0.5,"+"&amp;ROUND((1-M23)/M23*100,0),"-"&amp;ROUND(M23/(1-M23)*100,0))</f>
        <v>+809</v>
      </c>
      <c r="O23" s="4" t="s">
        <v>88</v>
      </c>
      <c r="P23" s="10" t="n">
        <f aca="false">IF(LEFT(O23,1)="+", M23*(VALUE(MID(O23,2,10))/100) - (1-M23), M23 - (1-M23)*(100/VALUE(MID(O23,2,10))))</f>
        <v>-0.318</v>
      </c>
      <c r="Q23" s="4" t="s">
        <v>51</v>
      </c>
      <c r="R23" s="11" t="s">
        <v>114</v>
      </c>
    </row>
    <row r="24" customFormat="false" ht="49.5" hidden="false" customHeight="true" outlineLevel="0" collapsed="false">
      <c r="A24" s="4" t="n">
        <v>20</v>
      </c>
      <c r="B24" s="13" t="s">
        <v>45</v>
      </c>
      <c r="C24" s="6" t="s">
        <v>115</v>
      </c>
      <c r="D24" s="4" t="s">
        <v>116</v>
      </c>
      <c r="E24" s="4" t="s">
        <v>25</v>
      </c>
      <c r="F24" s="4" t="s">
        <v>81</v>
      </c>
      <c r="G24" s="4" t="s">
        <v>82</v>
      </c>
      <c r="H24" s="4" t="s">
        <v>117</v>
      </c>
      <c r="I24" s="7" t="n">
        <v>0.96</v>
      </c>
      <c r="J24" s="8" t="n">
        <v>12</v>
      </c>
      <c r="K24" s="8"/>
      <c r="L24" s="4" t="s">
        <v>27</v>
      </c>
      <c r="M24" s="9" t="n">
        <v>0.14</v>
      </c>
      <c r="N24" s="4" t="str">
        <f aca="false">IF(M24&lt;0.5,"+"&amp;ROUND((1-M24)/M24*100,0),"-"&amp;ROUND(M24/(1-M24)*100,0))</f>
        <v>+614</v>
      </c>
      <c r="O24" s="4" t="s">
        <v>109</v>
      </c>
      <c r="P24" s="10" t="n">
        <f aca="false">IF(LEFT(O24,1)="+", M24*(VALUE(MID(O24,2,10))/100) - (1-M24), M24 - (1-M24)*(100/VALUE(MID(O24,2,10))))</f>
        <v>-0.244</v>
      </c>
      <c r="Q24" s="4" t="s">
        <v>51</v>
      </c>
      <c r="R24" s="11" t="s">
        <v>118</v>
      </c>
    </row>
    <row r="25" customFormat="false" ht="49.5" hidden="false" customHeight="true" outlineLevel="0" collapsed="false">
      <c r="A25" s="4" t="n">
        <v>21</v>
      </c>
      <c r="B25" s="13" t="s">
        <v>45</v>
      </c>
      <c r="C25" s="6" t="s">
        <v>119</v>
      </c>
      <c r="D25" s="4" t="s">
        <v>116</v>
      </c>
      <c r="E25" s="4" t="s">
        <v>25</v>
      </c>
      <c r="F25" s="4" t="s">
        <v>81</v>
      </c>
      <c r="G25" s="4" t="s">
        <v>82</v>
      </c>
      <c r="H25" s="4" t="s">
        <v>117</v>
      </c>
      <c r="I25" s="7" t="n">
        <v>0.96</v>
      </c>
      <c r="J25" s="8" t="n">
        <v>13</v>
      </c>
      <c r="K25" s="8"/>
      <c r="L25" s="4" t="s">
        <v>27</v>
      </c>
      <c r="M25" s="9" t="n">
        <v>0.16</v>
      </c>
      <c r="N25" s="4" t="str">
        <f aca="false">IF(M25&lt;0.5,"+"&amp;ROUND((1-M25)/M25*100,0),"-"&amp;ROUND(M25/(1-M25)*100,0))</f>
        <v>+525</v>
      </c>
      <c r="O25" s="4" t="s">
        <v>120</v>
      </c>
      <c r="P25" s="10" t="n">
        <f aca="false">IF(LEFT(O25,1)="+", M25*(VALUE(MID(O25,2,10))/100) - (1-M25), M25 - (1-M25)*(100/VALUE(MID(O25,2,10))))</f>
        <v>-0.232</v>
      </c>
      <c r="Q25" s="4" t="s">
        <v>51</v>
      </c>
      <c r="R25" s="11" t="s">
        <v>121</v>
      </c>
    </row>
    <row r="26" customFormat="false" ht="49.5" hidden="false" customHeight="true" outlineLevel="0" collapsed="false">
      <c r="A26" s="4" t="n">
        <v>22</v>
      </c>
      <c r="B26" s="13" t="s">
        <v>45</v>
      </c>
      <c r="C26" s="6" t="s">
        <v>122</v>
      </c>
      <c r="D26" s="4" t="s">
        <v>123</v>
      </c>
      <c r="E26" s="4" t="s">
        <v>25</v>
      </c>
      <c r="F26" s="4" t="s">
        <v>81</v>
      </c>
      <c r="G26" s="4" t="s">
        <v>82</v>
      </c>
      <c r="H26" s="4" t="s">
        <v>124</v>
      </c>
      <c r="I26" s="7" t="n">
        <v>0.92</v>
      </c>
      <c r="J26" s="8" t="n">
        <v>13</v>
      </c>
      <c r="K26" s="8"/>
      <c r="L26" s="4" t="s">
        <v>27</v>
      </c>
      <c r="M26" s="9" t="n">
        <v>0.18</v>
      </c>
      <c r="N26" s="4" t="str">
        <f aca="false">IF(M26&lt;0.5,"+"&amp;ROUND((1-M26)/M26*100,0),"-"&amp;ROUND(M26/(1-M26)*100,0))</f>
        <v>+456</v>
      </c>
      <c r="O26" s="4" t="s">
        <v>125</v>
      </c>
      <c r="P26" s="10" t="n">
        <f aca="false">IF(LEFT(O26,1)="+", M26*(VALUE(MID(O26,2,10))/100) - (1-M26), M26 - (1-M26)*(100/VALUE(MID(O26,2,10))))</f>
        <v>-0.316</v>
      </c>
      <c r="Q26" s="4" t="s">
        <v>69</v>
      </c>
      <c r="R26" s="11" t="s">
        <v>126</v>
      </c>
    </row>
    <row r="27" customFormat="false" ht="49.5" hidden="false" customHeight="true" outlineLevel="0" collapsed="false">
      <c r="A27" s="4" t="n">
        <v>23</v>
      </c>
      <c r="B27" s="13" t="s">
        <v>45</v>
      </c>
      <c r="C27" s="6" t="s">
        <v>127</v>
      </c>
      <c r="D27" s="4" t="s">
        <v>123</v>
      </c>
      <c r="E27" s="4" t="s">
        <v>34</v>
      </c>
      <c r="F27" s="4" t="s">
        <v>81</v>
      </c>
      <c r="G27" s="4" t="s">
        <v>82</v>
      </c>
      <c r="H27" s="4" t="s">
        <v>124</v>
      </c>
      <c r="I27" s="7" t="n">
        <v>0.92</v>
      </c>
      <c r="J27" s="8" t="n">
        <v>11</v>
      </c>
      <c r="K27" s="8"/>
      <c r="L27" s="4" t="s">
        <v>27</v>
      </c>
      <c r="M27" s="9" t="n">
        <v>0.13</v>
      </c>
      <c r="N27" s="4" t="str">
        <f aca="false">IF(M27&lt;0.5,"+"&amp;ROUND((1-M27)/M27*100,0),"-"&amp;ROUND(M27/(1-M27)*100,0))</f>
        <v>+669</v>
      </c>
      <c r="O27" s="4" t="s">
        <v>99</v>
      </c>
      <c r="P27" s="10" t="n">
        <f aca="false">IF(LEFT(O27,1)="+", M27*(VALUE(MID(O27,2,10))/100) - (1-M27), M27 - (1-M27)*(100/VALUE(MID(O27,2,10))))</f>
        <v>-0.285</v>
      </c>
      <c r="Q27" s="4" t="s">
        <v>51</v>
      </c>
      <c r="R27" s="11" t="s">
        <v>128</v>
      </c>
    </row>
    <row r="28" customFormat="false" ht="49.5" hidden="false" customHeight="true" outlineLevel="0" collapsed="false">
      <c r="A28" s="4" t="n">
        <v>24</v>
      </c>
      <c r="B28" s="13" t="s">
        <v>45</v>
      </c>
      <c r="C28" s="6" t="s">
        <v>129</v>
      </c>
      <c r="D28" s="4" t="s">
        <v>102</v>
      </c>
      <c r="E28" s="4" t="s">
        <v>23</v>
      </c>
      <c r="F28" s="4" t="s">
        <v>103</v>
      </c>
      <c r="G28" s="4" t="s">
        <v>34</v>
      </c>
      <c r="H28" s="4" t="s">
        <v>36</v>
      </c>
      <c r="I28" s="7" t="n">
        <v>1.05</v>
      </c>
      <c r="J28" s="8" t="n">
        <v>9</v>
      </c>
      <c r="K28" s="8" t="n">
        <v>8.5</v>
      </c>
      <c r="L28" s="4" t="s">
        <v>27</v>
      </c>
      <c r="M28" s="9" t="n">
        <v>0.13</v>
      </c>
      <c r="N28" s="4" t="str">
        <f aca="false">IF(M28&lt;0.5,"+"&amp;ROUND((1-M28)/M28*100,0),"-"&amp;ROUND(M28/(1-M28)*100,0))</f>
        <v>+669</v>
      </c>
      <c r="O28" s="4" t="s">
        <v>130</v>
      </c>
      <c r="P28" s="10" t="n">
        <f aca="false">IF(LEFT(O28,1)="+", M28*(VALUE(MID(O28,2,10))/100) - (1-M28), M28 - (1-M28)*(100/VALUE(MID(O28,2,10))))</f>
        <v>-0.155</v>
      </c>
      <c r="Q28" s="4" t="s">
        <v>94</v>
      </c>
      <c r="R28" s="11" t="s">
        <v>131</v>
      </c>
    </row>
    <row r="29" customFormat="false" ht="49.5" hidden="false" customHeight="true" outlineLevel="0" collapsed="false">
      <c r="A29" s="4" t="n">
        <v>25</v>
      </c>
      <c r="B29" s="13" t="s">
        <v>45</v>
      </c>
      <c r="C29" s="6" t="s">
        <v>132</v>
      </c>
      <c r="D29" s="4" t="s">
        <v>102</v>
      </c>
      <c r="E29" s="4" t="s">
        <v>25</v>
      </c>
      <c r="F29" s="4" t="s">
        <v>103</v>
      </c>
      <c r="G29" s="4" t="s">
        <v>34</v>
      </c>
      <c r="H29" s="4" t="s">
        <v>36</v>
      </c>
      <c r="I29" s="7" t="n">
        <v>1.05</v>
      </c>
      <c r="J29" s="8" t="n">
        <v>12</v>
      </c>
      <c r="K29" s="8" t="n">
        <v>8.5</v>
      </c>
      <c r="L29" s="4" t="s">
        <v>27</v>
      </c>
      <c r="M29" s="9" t="n">
        <v>0.18</v>
      </c>
      <c r="N29" s="4" t="str">
        <f aca="false">IF(M29&lt;0.5,"+"&amp;ROUND((1-M29)/M29*100,0),"-"&amp;ROUND(M29/(1-M29)*100,0))</f>
        <v>+456</v>
      </c>
      <c r="O29" s="4" t="s">
        <v>133</v>
      </c>
      <c r="P29" s="10" t="n">
        <f aca="false">IF(LEFT(O29,1)="+", M29*(VALUE(MID(O29,2,10))/100) - (1-M29), M29 - (1-M29)*(100/VALUE(MID(O29,2,10))))</f>
        <v>-0.172</v>
      </c>
      <c r="Q29" s="4" t="s">
        <v>63</v>
      </c>
      <c r="R29" s="11" t="s">
        <v>134</v>
      </c>
    </row>
    <row r="30" customFormat="false" ht="49.5" hidden="false" customHeight="true" outlineLevel="0" collapsed="false">
      <c r="A30" s="4" t="n">
        <v>26</v>
      </c>
      <c r="B30" s="13" t="s">
        <v>45</v>
      </c>
      <c r="C30" s="6" t="s">
        <v>135</v>
      </c>
      <c r="D30" s="4" t="s">
        <v>112</v>
      </c>
      <c r="E30" s="4" t="s">
        <v>25</v>
      </c>
      <c r="F30" s="4" t="s">
        <v>81</v>
      </c>
      <c r="G30" s="4" t="s">
        <v>82</v>
      </c>
      <c r="H30" s="4" t="s">
        <v>113</v>
      </c>
      <c r="I30" s="7" t="n">
        <v>0.94</v>
      </c>
      <c r="J30" s="8" t="n">
        <v>12</v>
      </c>
      <c r="K30" s="8"/>
      <c r="L30" s="4" t="s">
        <v>27</v>
      </c>
      <c r="M30" s="9" t="n">
        <v>0.13</v>
      </c>
      <c r="N30" s="4" t="str">
        <f aca="false">IF(M30&lt;0.5,"+"&amp;ROUND((1-M30)/M30*100,0),"-"&amp;ROUND(M30/(1-M30)*100,0))</f>
        <v>+669</v>
      </c>
      <c r="O30" s="4" t="s">
        <v>88</v>
      </c>
      <c r="P30" s="10" t="n">
        <f aca="false">IF(LEFT(O30,1)="+", M30*(VALUE(MID(O30,2,10))/100) - (1-M30), M30 - (1-M30)*(100/VALUE(MID(O30,2,10))))</f>
        <v>-0.194</v>
      </c>
      <c r="Q30" s="4" t="s">
        <v>51</v>
      </c>
      <c r="R30" s="11" t="s">
        <v>136</v>
      </c>
    </row>
    <row r="31" customFormat="false" ht="49.5" hidden="false" customHeight="true" outlineLevel="0" collapsed="false">
      <c r="A31" s="4" t="n">
        <v>27</v>
      </c>
      <c r="B31" s="13" t="s">
        <v>45</v>
      </c>
      <c r="C31" s="6" t="s">
        <v>137</v>
      </c>
      <c r="D31" s="4" t="s">
        <v>138</v>
      </c>
      <c r="E31" s="4" t="s">
        <v>25</v>
      </c>
      <c r="F31" s="4" t="s">
        <v>81</v>
      </c>
      <c r="G31" s="4" t="s">
        <v>82</v>
      </c>
      <c r="H31" s="4" t="s">
        <v>139</v>
      </c>
      <c r="I31" s="7" t="n">
        <v>1.04</v>
      </c>
      <c r="J31" s="8" t="n">
        <v>14.2</v>
      </c>
      <c r="K31" s="8"/>
      <c r="L31" s="4" t="s">
        <v>27</v>
      </c>
      <c r="M31" s="9" t="n">
        <v>0.18</v>
      </c>
      <c r="N31" s="4" t="str">
        <f aca="false">IF(M31&lt;0.5,"+"&amp;ROUND((1-M31)/M31*100,0),"-"&amp;ROUND(M31/(1-M31)*100,0))</f>
        <v>+456</v>
      </c>
      <c r="O31" s="4" t="s">
        <v>140</v>
      </c>
      <c r="P31" s="10" t="n">
        <f aca="false">IF(LEFT(O31,1)="+", M31*(VALUE(MID(O31,2,10))/100) - (1-M31), M31 - (1-M31)*(100/VALUE(MID(O31,2,10))))</f>
        <v>-0.208</v>
      </c>
      <c r="Q31" s="4" t="s">
        <v>69</v>
      </c>
      <c r="R31" s="11" t="s">
        <v>141</v>
      </c>
    </row>
    <row r="32" customFormat="false" ht="49.5" hidden="false" customHeight="true" outlineLevel="0" collapsed="false">
      <c r="A32" s="4" t="n">
        <v>28</v>
      </c>
      <c r="B32" s="13" t="s">
        <v>45</v>
      </c>
      <c r="C32" s="6" t="s">
        <v>142</v>
      </c>
      <c r="D32" s="4" t="s">
        <v>33</v>
      </c>
      <c r="E32" s="4" t="s">
        <v>34</v>
      </c>
      <c r="F32" s="4" t="s">
        <v>35</v>
      </c>
      <c r="G32" s="4" t="s">
        <v>25</v>
      </c>
      <c r="H32" s="4" t="s">
        <v>36</v>
      </c>
      <c r="I32" s="7" t="n">
        <v>1.12</v>
      </c>
      <c r="J32" s="8" t="n">
        <v>9</v>
      </c>
      <c r="K32" s="8" t="n">
        <v>9.5</v>
      </c>
      <c r="L32" s="4" t="s">
        <v>27</v>
      </c>
      <c r="M32" s="9" t="n">
        <v>0.11</v>
      </c>
      <c r="N32" s="4" t="str">
        <f aca="false">IF(M32&lt;0.5,"+"&amp;ROUND((1-M32)/M32*100,0),"-"&amp;ROUND(M32/(1-M32)*100,0))</f>
        <v>+809</v>
      </c>
      <c r="O32" s="4" t="s">
        <v>143</v>
      </c>
      <c r="P32" s="10" t="n">
        <f aca="false">IF(LEFT(O32,1)="+", M32*(VALUE(MID(O32,2,10))/100) - (1-M32), M32 - (1-M32)*(100/VALUE(MID(O32,2,10))))</f>
        <v>-0.252</v>
      </c>
      <c r="Q32" s="4" t="s">
        <v>51</v>
      </c>
      <c r="R32" s="11" t="s">
        <v>144</v>
      </c>
    </row>
    <row r="33" customFormat="false" ht="49.5" hidden="false" customHeight="true" outlineLevel="0" collapsed="false">
      <c r="A33" s="4" t="n">
        <v>29</v>
      </c>
      <c r="B33" s="13" t="s">
        <v>45</v>
      </c>
      <c r="C33" s="6" t="s">
        <v>145</v>
      </c>
      <c r="D33" s="4" t="s">
        <v>33</v>
      </c>
      <c r="E33" s="4" t="s">
        <v>34</v>
      </c>
      <c r="F33" s="4" t="s">
        <v>35</v>
      </c>
      <c r="G33" s="4" t="s">
        <v>25</v>
      </c>
      <c r="H33" s="4" t="s">
        <v>36</v>
      </c>
      <c r="I33" s="7" t="n">
        <v>1.12</v>
      </c>
      <c r="J33" s="8" t="n">
        <v>14</v>
      </c>
      <c r="K33" s="8" t="n">
        <v>9.5</v>
      </c>
      <c r="L33" s="4" t="s">
        <v>27</v>
      </c>
      <c r="M33" s="9" t="n">
        <v>0.16</v>
      </c>
      <c r="N33" s="4" t="str">
        <f aca="false">IF(M33&lt;0.5,"+"&amp;ROUND((1-M33)/M33*100,0),"-"&amp;ROUND(M33/(1-M33)*100,0))</f>
        <v>+525</v>
      </c>
      <c r="O33" s="4" t="s">
        <v>133</v>
      </c>
      <c r="P33" s="10" t="n">
        <f aca="false">IF(LEFT(O33,1)="+", M33*(VALUE(MID(O33,2,10))/100) - (1-M33), M33 - (1-M33)*(100/VALUE(MID(O33,2,10))))</f>
        <v>-0.264</v>
      </c>
      <c r="Q33" s="4" t="s">
        <v>94</v>
      </c>
      <c r="R33" s="11" t="s">
        <v>146</v>
      </c>
    </row>
  </sheetData>
  <mergeCells count="2">
    <mergeCell ref="A1:Q1"/>
    <mergeCell ref="A2:Q2"/>
  </mergeCells>
  <conditionalFormatting sqref="P5:P33">
    <cfRule type="cellIs" priority="2" operator="greaterThanOrEqual" aboveAverage="0" equalAverage="0" bottom="0" percent="0" rank="0" text="" dxfId="0">
      <formula>0.05</formula>
    </cfRule>
    <cfRule type="cellIs" priority="3" operator="between" aboveAverage="0" equalAverage="0" bottom="0" percent="0" rank="0" text="" dxfId="1">
      <formula>0</formula>
      <formula>0.0499</formula>
    </cfRule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5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9"/>
    <col collapsed="false" customWidth="true" hidden="false" outlineLevel="0" max="14" min="14" style="0" width="7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7</v>
      </c>
      <c r="F4" s="3" t="s">
        <v>9</v>
      </c>
      <c r="G4" s="3" t="s">
        <v>11</v>
      </c>
      <c r="H4" s="3" t="s">
        <v>12</v>
      </c>
      <c r="I4" s="3" t="s">
        <v>149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150</v>
      </c>
    </row>
    <row r="5" customFormat="false" ht="55.5" hidden="false" customHeight="true" outlineLevel="0" collapsed="false">
      <c r="A5" s="4" t="n">
        <v>1</v>
      </c>
      <c r="B5" s="5" t="s">
        <v>20</v>
      </c>
      <c r="C5" s="6" t="s">
        <v>21</v>
      </c>
      <c r="D5" s="4" t="s">
        <v>22</v>
      </c>
      <c r="E5" s="4" t="s">
        <v>24</v>
      </c>
      <c r="F5" s="4" t="s">
        <v>26</v>
      </c>
      <c r="G5" s="8" t="n">
        <v>9.5</v>
      </c>
      <c r="H5" s="8" t="n">
        <v>9</v>
      </c>
      <c r="I5" s="4"/>
      <c r="J5" s="9" t="n">
        <v>0.24</v>
      </c>
      <c r="K5" s="4" t="str">
        <f aca="false">IF(J5&lt;0.5,"+"&amp;ROUND((1-J5)/J5*100,0),"-"&amp;ROUND(J5/(1-J5)*100,0))</f>
        <v>+317</v>
      </c>
      <c r="L5" s="4" t="s">
        <v>28</v>
      </c>
      <c r="M5" s="10" t="n">
        <f aca="false">IF(LEFT(L5,1)="+", J5*(VALUE(MID(L5,2,10))/100) - (1-J5), J5 - (1-J5)*(100/VALUE(MID(L5,2,10))))</f>
        <v>0.416</v>
      </c>
      <c r="N5" s="4" t="s">
        <v>29</v>
      </c>
      <c r="O5" s="11" t="s">
        <v>30</v>
      </c>
    </row>
    <row r="6" customFormat="false" ht="55.5" hidden="false" customHeight="true" outlineLevel="0" collapsed="false">
      <c r="A6" s="4" t="n">
        <v>2</v>
      </c>
      <c r="B6" s="5" t="s">
        <v>20</v>
      </c>
      <c r="C6" s="6" t="s">
        <v>39</v>
      </c>
      <c r="D6" s="4" t="s">
        <v>40</v>
      </c>
      <c r="E6" s="4" t="s">
        <v>41</v>
      </c>
      <c r="F6" s="4" t="s">
        <v>26</v>
      </c>
      <c r="G6" s="8" t="n">
        <v>11.5</v>
      </c>
      <c r="H6" s="8" t="n">
        <v>8</v>
      </c>
      <c r="I6" s="4"/>
      <c r="J6" s="9" t="n">
        <v>0.22</v>
      </c>
      <c r="K6" s="4" t="str">
        <f aca="false">IF(J6&lt;0.5,"+"&amp;ROUND((1-J6)/J6*100,0),"-"&amp;ROUND(J6/(1-J6)*100,0))</f>
        <v>+355</v>
      </c>
      <c r="L6" s="4" t="s">
        <v>42</v>
      </c>
      <c r="M6" s="10" t="n">
        <f aca="false">IF(LEFT(L6,1)="+", J6*(VALUE(MID(L6,2,10))/100) - (1-J6), J6 - (1-J6)*(100/VALUE(MID(L6,2,10))))</f>
        <v>0.254</v>
      </c>
      <c r="N6" s="4" t="s">
        <v>43</v>
      </c>
      <c r="O6" s="11" t="s">
        <v>44</v>
      </c>
    </row>
    <row r="7" customFormat="false" ht="55.5" hidden="false" customHeight="true" outlineLevel="0" collapsed="false">
      <c r="A7" s="4" t="n">
        <v>3</v>
      </c>
      <c r="B7" s="12" t="s">
        <v>31</v>
      </c>
      <c r="C7" s="6" t="s">
        <v>68</v>
      </c>
      <c r="D7" s="4" t="s">
        <v>22</v>
      </c>
      <c r="E7" s="4" t="s">
        <v>24</v>
      </c>
      <c r="F7" s="4" t="s">
        <v>26</v>
      </c>
      <c r="G7" s="8" t="n">
        <v>12</v>
      </c>
      <c r="H7" s="8" t="n">
        <v>9</v>
      </c>
      <c r="I7" s="4"/>
      <c r="J7" s="9" t="n">
        <v>0.17</v>
      </c>
      <c r="K7" s="4" t="str">
        <f aca="false">IF(J7&lt;0.5,"+"&amp;ROUND((1-J7)/J7*100,0),"-"&amp;ROUND(J7/(1-J7)*100,0))</f>
        <v>+488</v>
      </c>
      <c r="L7" s="4" t="s">
        <v>28</v>
      </c>
      <c r="M7" s="10" t="n">
        <f aca="false">IF(LEFT(L7,1)="+", J7*(VALUE(MID(L7,2,10))/100) - (1-J7), J7 - (1-J7)*(100/VALUE(MID(L7,2,10))))</f>
        <v>0.00300000000000011</v>
      </c>
      <c r="N7" s="4" t="s">
        <v>69</v>
      </c>
      <c r="O7" s="11" t="s">
        <v>70</v>
      </c>
    </row>
    <row r="8" customFormat="false" ht="55.5" hidden="false" customHeight="true" outlineLevel="0" collapsed="false">
      <c r="A8" s="4" t="n">
        <v>4</v>
      </c>
      <c r="B8" s="12" t="s">
        <v>31</v>
      </c>
      <c r="C8" s="6" t="s">
        <v>85</v>
      </c>
      <c r="D8" s="4" t="s">
        <v>47</v>
      </c>
      <c r="E8" s="4" t="s">
        <v>48</v>
      </c>
      <c r="F8" s="4" t="s">
        <v>49</v>
      </c>
      <c r="G8" s="8" t="n">
        <v>12</v>
      </c>
      <c r="H8" s="8" t="n">
        <v>8</v>
      </c>
      <c r="I8" s="4"/>
      <c r="J8" s="9" t="n">
        <v>0.17</v>
      </c>
      <c r="K8" s="4" t="str">
        <f aca="false">IF(J8&lt;0.5,"+"&amp;ROUND((1-J8)/J8*100,0),"-"&amp;ROUND(J8/(1-J8)*100,0))</f>
        <v>+488</v>
      </c>
      <c r="L8" s="4" t="s">
        <v>28</v>
      </c>
      <c r="M8" s="10" t="n">
        <f aca="false">IF(LEFT(L8,1)="+", J8*(VALUE(MID(L8,2,10))/100) - (1-J8), J8 - (1-J8)*(100/VALUE(MID(L8,2,10))))</f>
        <v>0.00300000000000011</v>
      </c>
      <c r="N8" s="4" t="s">
        <v>69</v>
      </c>
      <c r="O8" s="11" t="s">
        <v>86</v>
      </c>
    </row>
    <row r="9" customFormat="false" ht="55.5" hidden="false" customHeight="true" outlineLevel="0" collapsed="false">
      <c r="A9" s="4" t="n">
        <v>5</v>
      </c>
      <c r="B9" s="13" t="s">
        <v>45</v>
      </c>
      <c r="C9" s="6" t="s">
        <v>87</v>
      </c>
      <c r="D9" s="4" t="s">
        <v>54</v>
      </c>
      <c r="E9" s="4" t="s">
        <v>55</v>
      </c>
      <c r="F9" s="4" t="s">
        <v>49</v>
      </c>
      <c r="G9" s="8" t="n">
        <v>14.8</v>
      </c>
      <c r="H9" s="8" t="n">
        <v>8.5</v>
      </c>
      <c r="I9" s="4"/>
      <c r="J9" s="9" t="n">
        <v>0.16</v>
      </c>
      <c r="K9" s="4" t="str">
        <f aca="false">IF(J9&lt;0.5,"+"&amp;ROUND((1-J9)/J9*100,0),"-"&amp;ROUND(J9/(1-J9)*100,0))</f>
        <v>+525</v>
      </c>
      <c r="L9" s="4" t="s">
        <v>88</v>
      </c>
      <c r="M9" s="10" t="n">
        <f aca="false">IF(LEFT(L9,1)="+", J9*(VALUE(MID(L9,2,10))/100) - (1-J9), J9 - (1-J9)*(100/VALUE(MID(L9,2,10))))</f>
        <v>-0.0079999999999999</v>
      </c>
      <c r="N9" s="4" t="s">
        <v>63</v>
      </c>
      <c r="O9" s="11" t="s">
        <v>89</v>
      </c>
    </row>
    <row r="10" customFormat="false" ht="55.5" hidden="false" customHeight="true" outlineLevel="0" collapsed="false">
      <c r="A10" s="4" t="n">
        <v>6</v>
      </c>
      <c r="B10" s="12" t="s">
        <v>31</v>
      </c>
      <c r="C10" s="6" t="s">
        <v>71</v>
      </c>
      <c r="D10" s="4" t="s">
        <v>72</v>
      </c>
      <c r="E10" s="4" t="s">
        <v>73</v>
      </c>
      <c r="F10" s="4" t="s">
        <v>74</v>
      </c>
      <c r="G10" s="8" t="n">
        <v>13</v>
      </c>
      <c r="H10" s="8" t="n">
        <v>9.5</v>
      </c>
      <c r="I10" s="4"/>
      <c r="J10" s="9" t="n">
        <v>0.2</v>
      </c>
      <c r="K10" s="4" t="str">
        <f aca="false">IF(J10&lt;0.5,"+"&amp;ROUND((1-J10)/J10*100,0),"-"&amp;ROUND(J10/(1-J10)*100,0))</f>
        <v>+400</v>
      </c>
      <c r="L10" s="4" t="s">
        <v>75</v>
      </c>
      <c r="M10" s="10" t="n">
        <f aca="false">IF(LEFT(L10,1)="+", J10*(VALUE(MID(L10,2,10))/100) - (1-J10), J10 - (1-J10)*(100/VALUE(MID(L10,2,10))))</f>
        <v>-0.0599999999999999</v>
      </c>
      <c r="N10" s="4" t="s">
        <v>57</v>
      </c>
      <c r="O10" s="11" t="s">
        <v>76</v>
      </c>
    </row>
    <row r="11" customFormat="false" ht="55.5" hidden="false" customHeight="true" outlineLevel="0" collapsed="false">
      <c r="A11" s="4" t="n">
        <v>7</v>
      </c>
      <c r="B11" s="12" t="s">
        <v>31</v>
      </c>
      <c r="C11" s="6" t="s">
        <v>53</v>
      </c>
      <c r="D11" s="4" t="s">
        <v>54</v>
      </c>
      <c r="E11" s="4" t="s">
        <v>55</v>
      </c>
      <c r="F11" s="4" t="s">
        <v>49</v>
      </c>
      <c r="G11" s="8" t="n">
        <v>13.5</v>
      </c>
      <c r="H11" s="8" t="n">
        <v>8.5</v>
      </c>
      <c r="I11" s="4"/>
      <c r="J11" s="9" t="n">
        <v>0.18</v>
      </c>
      <c r="K11" s="4" t="str">
        <f aca="false">IF(J11&lt;0.5,"+"&amp;ROUND((1-J11)/J11*100,0),"-"&amp;ROUND(J11/(1-J11)*100,0))</f>
        <v>+456</v>
      </c>
      <c r="L11" s="4" t="s">
        <v>56</v>
      </c>
      <c r="M11" s="10" t="n">
        <f aca="false">IF(LEFT(L11,1)="+", J11*(VALUE(MID(L11,2,10))/100) - (1-J11), J11 - (1-J11)*(100/VALUE(MID(L11,2,10))))</f>
        <v>-0.0640000000000001</v>
      </c>
      <c r="N11" s="4" t="s">
        <v>57</v>
      </c>
      <c r="O11" s="11" t="s">
        <v>58</v>
      </c>
    </row>
    <row r="12" customFormat="false" ht="55.5" hidden="false" customHeight="true" outlineLevel="0" collapsed="false">
      <c r="A12" s="4" t="n">
        <v>8</v>
      </c>
      <c r="B12" s="12" t="s">
        <v>31</v>
      </c>
      <c r="C12" s="6" t="s">
        <v>62</v>
      </c>
      <c r="D12" s="4" t="s">
        <v>40</v>
      </c>
      <c r="E12" s="4" t="s">
        <v>41</v>
      </c>
      <c r="F12" s="4" t="s">
        <v>26</v>
      </c>
      <c r="G12" s="8" t="n">
        <v>10</v>
      </c>
      <c r="H12" s="8" t="n">
        <v>8</v>
      </c>
      <c r="I12" s="4"/>
      <c r="J12" s="9" t="n">
        <v>0.18</v>
      </c>
      <c r="K12" s="4" t="str">
        <f aca="false">IF(J12&lt;0.5,"+"&amp;ROUND((1-J12)/J12*100,0),"-"&amp;ROUND(J12/(1-J12)*100,0))</f>
        <v>+456</v>
      </c>
      <c r="L12" s="4" t="s">
        <v>56</v>
      </c>
      <c r="M12" s="10" t="n">
        <f aca="false">IF(LEFT(L12,1)="+", J12*(VALUE(MID(L12,2,10))/100) - (1-J12), J12 - (1-J12)*(100/VALUE(MID(L12,2,10))))</f>
        <v>-0.0640000000000001</v>
      </c>
      <c r="N12" s="4" t="s">
        <v>63</v>
      </c>
      <c r="O12" s="11" t="s">
        <v>64</v>
      </c>
    </row>
    <row r="13" customFormat="false" ht="55.5" hidden="false" customHeight="true" outlineLevel="0" collapsed="false">
      <c r="A13" s="4" t="n">
        <v>9</v>
      </c>
      <c r="B13" s="12" t="s">
        <v>31</v>
      </c>
      <c r="C13" s="6" t="s">
        <v>101</v>
      </c>
      <c r="D13" s="4" t="s">
        <v>102</v>
      </c>
      <c r="E13" s="4" t="s">
        <v>103</v>
      </c>
      <c r="F13" s="4" t="s">
        <v>36</v>
      </c>
      <c r="G13" s="8" t="n">
        <v>13</v>
      </c>
      <c r="H13" s="8" t="n">
        <v>8.5</v>
      </c>
      <c r="I13" s="4"/>
      <c r="J13" s="9" t="n">
        <v>0.16</v>
      </c>
      <c r="K13" s="4" t="str">
        <f aca="false">IF(J13&lt;0.5,"+"&amp;ROUND((1-J13)/J13*100,0),"-"&amp;ROUND(J13/(1-J13)*100,0))</f>
        <v>+525</v>
      </c>
      <c r="L13" s="4" t="s">
        <v>104</v>
      </c>
      <c r="M13" s="10" t="n">
        <f aca="false">IF(LEFT(L13,1)="+", J13*(VALUE(MID(L13,2,10))/100) - (1-J13), J13 - (1-J13)*(100/VALUE(MID(L13,2,10))))</f>
        <v>-0.072</v>
      </c>
      <c r="N13" s="4" t="s">
        <v>69</v>
      </c>
      <c r="O13" s="11" t="s">
        <v>105</v>
      </c>
    </row>
    <row r="14" customFormat="false" ht="55.5" hidden="false" customHeight="true" outlineLevel="0" collapsed="false">
      <c r="A14" s="4" t="n">
        <v>10</v>
      </c>
      <c r="B14" s="12" t="s">
        <v>31</v>
      </c>
      <c r="C14" s="6" t="s">
        <v>32</v>
      </c>
      <c r="D14" s="4" t="s">
        <v>33</v>
      </c>
      <c r="E14" s="4" t="s">
        <v>35</v>
      </c>
      <c r="F14" s="4" t="s">
        <v>36</v>
      </c>
      <c r="G14" s="8" t="n">
        <v>14.2</v>
      </c>
      <c r="H14" s="8" t="n">
        <v>9.5</v>
      </c>
      <c r="I14" s="4"/>
      <c r="J14" s="9" t="n">
        <v>0.28</v>
      </c>
      <c r="K14" s="4" t="str">
        <f aca="false">IF(J14&lt;0.5,"+"&amp;ROUND((1-J14)/J14*100,0),"-"&amp;ROUND(J14/(1-J14)*100,0))</f>
        <v>+257</v>
      </c>
      <c r="L14" s="4" t="s">
        <v>37</v>
      </c>
      <c r="M14" s="10" t="n">
        <f aca="false">IF(LEFT(L14,1)="+", J14*(VALUE(MID(L14,2,10))/100) - (1-J14), J14 - (1-J14)*(100/VALUE(MID(L14,2,10))))</f>
        <v>-0.104</v>
      </c>
      <c r="N14" s="4" t="s">
        <v>29</v>
      </c>
      <c r="O14" s="11" t="s">
        <v>38</v>
      </c>
    </row>
    <row r="15" customFormat="false" ht="55.5" hidden="false" customHeight="true" outlineLevel="0" collapsed="false">
      <c r="A15" s="4" t="n">
        <v>11</v>
      </c>
      <c r="B15" s="12" t="s">
        <v>31</v>
      </c>
      <c r="C15" s="6" t="s">
        <v>59</v>
      </c>
      <c r="D15" s="4" t="s">
        <v>47</v>
      </c>
      <c r="E15" s="4" t="s">
        <v>48</v>
      </c>
      <c r="F15" s="4" t="s">
        <v>49</v>
      </c>
      <c r="G15" s="8" t="n">
        <v>22.7</v>
      </c>
      <c r="H15" s="8" t="n">
        <v>8</v>
      </c>
      <c r="I15" s="4"/>
      <c r="J15" s="9" t="n">
        <v>0.22</v>
      </c>
      <c r="K15" s="4" t="str">
        <f aca="false">IF(J15&lt;0.5,"+"&amp;ROUND((1-J15)/J15*100,0),"-"&amp;ROUND(J15/(1-J15)*100,0))</f>
        <v>+355</v>
      </c>
      <c r="L15" s="4" t="s">
        <v>60</v>
      </c>
      <c r="M15" s="10" t="n">
        <f aca="false">IF(LEFT(L15,1)="+", J15*(VALUE(MID(L15,2,10))/100) - (1-J15), J15 - (1-J15)*(100/VALUE(MID(L15,2,10))))</f>
        <v>-0.12</v>
      </c>
      <c r="N15" s="4" t="s">
        <v>43</v>
      </c>
      <c r="O15" s="11" t="s">
        <v>61</v>
      </c>
    </row>
    <row r="16" customFormat="false" ht="55.5" hidden="false" customHeight="true" outlineLevel="0" collapsed="false">
      <c r="A16" s="4" t="n">
        <v>12</v>
      </c>
      <c r="B16" s="13" t="s">
        <v>45</v>
      </c>
      <c r="C16" s="6" t="s">
        <v>129</v>
      </c>
      <c r="D16" s="4" t="s">
        <v>102</v>
      </c>
      <c r="E16" s="4" t="s">
        <v>103</v>
      </c>
      <c r="F16" s="4" t="s">
        <v>36</v>
      </c>
      <c r="G16" s="8" t="n">
        <v>9</v>
      </c>
      <c r="H16" s="8" t="n">
        <v>8.5</v>
      </c>
      <c r="I16" s="4"/>
      <c r="J16" s="9" t="n">
        <v>0.13</v>
      </c>
      <c r="K16" s="4" t="str">
        <f aca="false">IF(J16&lt;0.5,"+"&amp;ROUND((1-J16)/J16*100,0),"-"&amp;ROUND(J16/(1-J16)*100,0))</f>
        <v>+669</v>
      </c>
      <c r="L16" s="4" t="s">
        <v>130</v>
      </c>
      <c r="M16" s="10" t="n">
        <f aca="false">IF(LEFT(L16,1)="+", J16*(VALUE(MID(L16,2,10))/100) - (1-J16), J16 - (1-J16)*(100/VALUE(MID(L16,2,10))))</f>
        <v>-0.155</v>
      </c>
      <c r="N16" s="4" t="s">
        <v>94</v>
      </c>
      <c r="O16" s="11" t="s">
        <v>131</v>
      </c>
    </row>
    <row r="17" customFormat="false" ht="55.5" hidden="false" customHeight="true" outlineLevel="0" collapsed="false">
      <c r="A17" s="4" t="n">
        <v>13</v>
      </c>
      <c r="B17" s="12" t="s">
        <v>31</v>
      </c>
      <c r="C17" s="6" t="s">
        <v>65</v>
      </c>
      <c r="D17" s="4" t="s">
        <v>22</v>
      </c>
      <c r="E17" s="4" t="s">
        <v>24</v>
      </c>
      <c r="F17" s="4" t="s">
        <v>26</v>
      </c>
      <c r="G17" s="8" t="n">
        <v>12</v>
      </c>
      <c r="H17" s="8" t="n">
        <v>9</v>
      </c>
      <c r="I17" s="4"/>
      <c r="J17" s="9" t="n">
        <v>0.17</v>
      </c>
      <c r="K17" s="4" t="str">
        <f aca="false">IF(J17&lt;0.5,"+"&amp;ROUND((1-J17)/J17*100,0),"-"&amp;ROUND(J17/(1-J17)*100,0))</f>
        <v>+488</v>
      </c>
      <c r="L17" s="4" t="s">
        <v>66</v>
      </c>
      <c r="M17" s="10" t="n">
        <f aca="false">IF(LEFT(L17,1)="+", J17*(VALUE(MID(L17,2,10))/100) - (1-J17), J17 - (1-J17)*(100/VALUE(MID(L17,2,10))))</f>
        <v>-0.167</v>
      </c>
      <c r="N17" s="4" t="s">
        <v>63</v>
      </c>
      <c r="O17" s="11" t="s">
        <v>67</v>
      </c>
    </row>
    <row r="18" customFormat="false" ht="55.5" hidden="false" customHeight="true" outlineLevel="0" collapsed="false">
      <c r="A18" s="4" t="n">
        <v>14</v>
      </c>
      <c r="B18" s="13" t="s">
        <v>45</v>
      </c>
      <c r="C18" s="6" t="s">
        <v>132</v>
      </c>
      <c r="D18" s="4" t="s">
        <v>102</v>
      </c>
      <c r="E18" s="4" t="s">
        <v>103</v>
      </c>
      <c r="F18" s="4" t="s">
        <v>36</v>
      </c>
      <c r="G18" s="8" t="n">
        <v>12</v>
      </c>
      <c r="H18" s="8" t="n">
        <v>8.5</v>
      </c>
      <c r="I18" s="4"/>
      <c r="J18" s="9" t="n">
        <v>0.18</v>
      </c>
      <c r="K18" s="4" t="str">
        <f aca="false">IF(J18&lt;0.5,"+"&amp;ROUND((1-J18)/J18*100,0),"-"&amp;ROUND(J18/(1-J18)*100,0))</f>
        <v>+456</v>
      </c>
      <c r="L18" s="4" t="s">
        <v>133</v>
      </c>
      <c r="M18" s="10" t="n">
        <f aca="false">IF(LEFT(L18,1)="+", J18*(VALUE(MID(L18,2,10))/100) - (1-J18), J18 - (1-J18)*(100/VALUE(MID(L18,2,10))))</f>
        <v>-0.172</v>
      </c>
      <c r="N18" s="4" t="s">
        <v>63</v>
      </c>
      <c r="O18" s="11" t="s">
        <v>134</v>
      </c>
    </row>
    <row r="19" customFormat="false" ht="55.5" hidden="false" customHeight="true" outlineLevel="0" collapsed="false">
      <c r="A19" s="4" t="n">
        <v>15</v>
      </c>
      <c r="B19" s="13" t="s">
        <v>45</v>
      </c>
      <c r="C19" s="6" t="s">
        <v>135</v>
      </c>
      <c r="D19" s="4" t="s">
        <v>112</v>
      </c>
      <c r="E19" s="4" t="s">
        <v>81</v>
      </c>
      <c r="F19" s="4" t="s">
        <v>113</v>
      </c>
      <c r="G19" s="8" t="n">
        <v>12</v>
      </c>
      <c r="H19" s="8"/>
      <c r="I19" s="4"/>
      <c r="J19" s="9" t="n">
        <v>0.13</v>
      </c>
      <c r="K19" s="4" t="str">
        <f aca="false">IF(J19&lt;0.5,"+"&amp;ROUND((1-J19)/J19*100,0),"-"&amp;ROUND(J19/(1-J19)*100,0))</f>
        <v>+669</v>
      </c>
      <c r="L19" s="4" t="s">
        <v>88</v>
      </c>
      <c r="M19" s="10" t="n">
        <f aca="false">IF(LEFT(L19,1)="+", J19*(VALUE(MID(L19,2,10))/100) - (1-J19), J19 - (1-J19)*(100/VALUE(MID(L19,2,10))))</f>
        <v>-0.194</v>
      </c>
      <c r="N19" s="4" t="s">
        <v>51</v>
      </c>
      <c r="O19" s="11" t="s">
        <v>136</v>
      </c>
    </row>
  </sheetData>
  <mergeCells count="2">
    <mergeCell ref="A1:M1"/>
    <mergeCell ref="A2:M2"/>
  </mergeCells>
  <conditionalFormatting sqref="M5:M19">
    <cfRule type="cellIs" priority="2" operator="greaterThanOrEqual" aboveAverage="0" equalAverage="0" bottom="0" percent="0" rank="0" text="" dxfId="0">
      <formula>0.05</formula>
    </cfRule>
    <cfRule type="cellIs" priority="3" operator="between" aboveAverage="0" equalAverage="0" bottom="0" percent="0" rank="0" text="" dxfId="1">
      <formula>0</formula>
      <formula>0.0499</formula>
    </cfRule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3" t="s">
        <v>153</v>
      </c>
      <c r="B4" s="3" t="s">
        <v>4</v>
      </c>
      <c r="C4" s="3" t="s">
        <v>5</v>
      </c>
      <c r="D4" s="3" t="s">
        <v>7</v>
      </c>
      <c r="E4" s="3" t="s">
        <v>14</v>
      </c>
      <c r="F4" s="3" t="s">
        <v>15</v>
      </c>
      <c r="G4" s="3" t="s">
        <v>154</v>
      </c>
      <c r="H4" s="3" t="s">
        <v>155</v>
      </c>
      <c r="I4" s="3" t="s">
        <v>156</v>
      </c>
      <c r="J4" s="3" t="s">
        <v>157</v>
      </c>
      <c r="K4" s="3" t="s">
        <v>158</v>
      </c>
    </row>
    <row r="5" customFormat="false" ht="15" hidden="false" customHeight="false" outlineLevel="0" collapsed="false">
      <c r="A5" s="4" t="s">
        <v>159</v>
      </c>
      <c r="B5" s="6" t="s">
        <v>21</v>
      </c>
      <c r="C5" s="4" t="s">
        <v>22</v>
      </c>
      <c r="D5" s="4" t="s">
        <v>24</v>
      </c>
      <c r="E5" s="9" t="n">
        <v>0.24</v>
      </c>
      <c r="F5" s="4" t="str">
        <f aca="false">IF(E5&lt;0.5,"+"&amp;ROUND((1-E5)/E5*100,0),"-"&amp;ROUND(E5/(1-E5)*100,0))</f>
        <v>+317</v>
      </c>
      <c r="G5" s="14" t="s">
        <v>28</v>
      </c>
      <c r="H5" s="15" t="n">
        <v>10</v>
      </c>
      <c r="I5" s="14"/>
      <c r="J5" s="16" t="str">
        <f aca="false">IF(I5="","",IF(I5="W",IF(LEFT(G5,1)="+",H5*VALUE(MID(G5,2,10))/100,H5*100/VALUE(MID(G5,2,10))),-H5))</f>
        <v/>
      </c>
      <c r="K5" s="10" t="n">
        <f aca="false">IF(SUM($H$5:H5)=0,"",SUM($J$5:J5)/SUM($H$5:H5))</f>
        <v>0</v>
      </c>
    </row>
    <row r="6" customFormat="false" ht="15" hidden="false" customHeight="false" outlineLevel="0" collapsed="false">
      <c r="A6" s="4" t="s">
        <v>159</v>
      </c>
      <c r="B6" s="6" t="s">
        <v>39</v>
      </c>
      <c r="C6" s="4" t="s">
        <v>40</v>
      </c>
      <c r="D6" s="4" t="s">
        <v>41</v>
      </c>
      <c r="E6" s="9" t="n">
        <v>0.22</v>
      </c>
      <c r="F6" s="4" t="str">
        <f aca="false">IF(E6&lt;0.5,"+"&amp;ROUND((1-E6)/E6*100,0),"-"&amp;ROUND(E6/(1-E6)*100,0))</f>
        <v>+355</v>
      </c>
      <c r="G6" s="14" t="s">
        <v>42</v>
      </c>
      <c r="H6" s="15" t="n">
        <v>10</v>
      </c>
      <c r="I6" s="14"/>
      <c r="J6" s="16" t="str">
        <f aca="false">IF(I6="","",IF(I6="W",IF(LEFT(G6,1)="+",H6*VALUE(MID(G6,2,10))/100,H6*100/VALUE(MID(G6,2,10))),-H6))</f>
        <v/>
      </c>
      <c r="K6" s="10" t="n">
        <f aca="false">IF(SUM($H$5:H6)=0,"",SUM($J$5:J6)/SUM($H$5:H6))</f>
        <v>0</v>
      </c>
    </row>
    <row r="7" customFormat="false" ht="15" hidden="false" customHeight="false" outlineLevel="0" collapsed="false">
      <c r="A7" s="17" t="s">
        <v>160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A8" s="4" t="s">
        <v>159</v>
      </c>
      <c r="B8" s="6" t="s">
        <v>32</v>
      </c>
      <c r="C8" s="4" t="s">
        <v>33</v>
      </c>
      <c r="D8" s="4" t="s">
        <v>35</v>
      </c>
      <c r="E8" s="9" t="n">
        <v>0.28</v>
      </c>
      <c r="F8" s="4" t="str">
        <f aca="false">IF(E8&lt;0.5,"+"&amp;ROUND((1-E8)/E8*100,0),"-"&amp;ROUND(E8/(1-E8)*100,0))</f>
        <v>+257</v>
      </c>
      <c r="G8" s="14" t="s">
        <v>37</v>
      </c>
      <c r="H8" s="15" t="n">
        <v>0</v>
      </c>
      <c r="I8" s="14"/>
      <c r="J8" s="16" t="str">
        <f aca="false">IF(I8="","",IF(I8="W",IF(LEFT(G8,1)="+",H8*VALUE(MID(G8,2,10))/100,H8*100/VALUE(MID(G8,2,10))),-H8))</f>
        <v/>
      </c>
      <c r="K8" s="10" t="n">
        <f aca="false">IF(SUM($H$5:H8)=0,"",SUM($J$5:J8)/SUM($H$5:H8))</f>
        <v>0</v>
      </c>
    </row>
    <row r="9" customFormat="false" ht="15" hidden="false" customHeight="false" outlineLevel="0" collapsed="false">
      <c r="A9" s="4" t="s">
        <v>159</v>
      </c>
      <c r="B9" s="6" t="s">
        <v>53</v>
      </c>
      <c r="C9" s="4" t="s">
        <v>54</v>
      </c>
      <c r="D9" s="4" t="s">
        <v>55</v>
      </c>
      <c r="E9" s="9" t="n">
        <v>0.18</v>
      </c>
      <c r="F9" s="4" t="str">
        <f aca="false">IF(E9&lt;0.5,"+"&amp;ROUND((1-E9)/E9*100,0),"-"&amp;ROUND(E9/(1-E9)*100,0))</f>
        <v>+456</v>
      </c>
      <c r="G9" s="14" t="s">
        <v>56</v>
      </c>
      <c r="H9" s="15" t="n">
        <v>0</v>
      </c>
      <c r="I9" s="14"/>
      <c r="J9" s="16" t="str">
        <f aca="false">IF(I9="","",IF(I9="W",IF(LEFT(G9,1)="+",H9*VALUE(MID(G9,2,10))/100,H9*100/VALUE(MID(G9,2,10))),-H9))</f>
        <v/>
      </c>
      <c r="K9" s="10" t="n">
        <f aca="false">IF(SUM($H$5:H9)=0,"",SUM($J$5:J9)/SUM($H$5:H9))</f>
        <v>0</v>
      </c>
    </row>
    <row r="10" customFormat="false" ht="15" hidden="false" customHeight="false" outlineLevel="0" collapsed="false">
      <c r="A10" s="4" t="s">
        <v>159</v>
      </c>
      <c r="B10" s="6" t="s">
        <v>59</v>
      </c>
      <c r="C10" s="4" t="s">
        <v>47</v>
      </c>
      <c r="D10" s="4" t="s">
        <v>48</v>
      </c>
      <c r="E10" s="9" t="n">
        <v>0.22</v>
      </c>
      <c r="F10" s="4" t="str">
        <f aca="false">IF(E10&lt;0.5,"+"&amp;ROUND((1-E10)/E10*100,0),"-"&amp;ROUND(E10/(1-E10)*100,0))</f>
        <v>+355</v>
      </c>
      <c r="G10" s="14" t="s">
        <v>60</v>
      </c>
      <c r="H10" s="15" t="n">
        <v>0</v>
      </c>
      <c r="I10" s="14"/>
      <c r="J10" s="16" t="str">
        <f aca="false">IF(I10="","",IF(I10="W",IF(LEFT(G10,1)="+",H10*VALUE(MID(G10,2,10))/100,H10*100/VALUE(MID(G10,2,10))),-H10))</f>
        <v/>
      </c>
      <c r="K10" s="10" t="n">
        <f aca="false">IF(SUM($H$5:H10)=0,"",SUM($J$5:J10)/SUM($H$5:H10))</f>
        <v>0</v>
      </c>
    </row>
    <row r="11" customFormat="false" ht="15" hidden="false" customHeight="false" outlineLevel="0" collapsed="false">
      <c r="A11" s="4" t="s">
        <v>159</v>
      </c>
      <c r="B11" s="6" t="s">
        <v>62</v>
      </c>
      <c r="C11" s="4" t="s">
        <v>40</v>
      </c>
      <c r="D11" s="4" t="s">
        <v>41</v>
      </c>
      <c r="E11" s="9" t="n">
        <v>0.18</v>
      </c>
      <c r="F11" s="4" t="str">
        <f aca="false">IF(E11&lt;0.5,"+"&amp;ROUND((1-E11)/E11*100,0),"-"&amp;ROUND(E11/(1-E11)*100,0))</f>
        <v>+456</v>
      </c>
      <c r="G11" s="14" t="s">
        <v>56</v>
      </c>
      <c r="H11" s="15" t="n">
        <v>0</v>
      </c>
      <c r="I11" s="14"/>
      <c r="J11" s="16" t="str">
        <f aca="false">IF(I11="","",IF(I11="W",IF(LEFT(G11,1)="+",H11*VALUE(MID(G11,2,10))/100,H11*100/VALUE(MID(G11,2,10))),-H11))</f>
        <v/>
      </c>
      <c r="K11" s="10" t="n">
        <f aca="false">IF(SUM($H$5:H11)=0,"",SUM($J$5:J11)/SUM($H$5:H11))</f>
        <v>0</v>
      </c>
    </row>
    <row r="12" customFormat="false" ht="15" hidden="false" customHeight="false" outlineLevel="0" collapsed="false">
      <c r="A12" s="4" t="s">
        <v>159</v>
      </c>
      <c r="B12" s="6" t="s">
        <v>65</v>
      </c>
      <c r="C12" s="4" t="s">
        <v>22</v>
      </c>
      <c r="D12" s="4" t="s">
        <v>24</v>
      </c>
      <c r="E12" s="9" t="n">
        <v>0.17</v>
      </c>
      <c r="F12" s="4" t="str">
        <f aca="false">IF(E12&lt;0.5,"+"&amp;ROUND((1-E12)/E12*100,0),"-"&amp;ROUND(E12/(1-E12)*100,0))</f>
        <v>+488</v>
      </c>
      <c r="G12" s="14" t="s">
        <v>66</v>
      </c>
      <c r="H12" s="15" t="n">
        <v>0</v>
      </c>
      <c r="I12" s="14"/>
      <c r="J12" s="16" t="str">
        <f aca="false">IF(I12="","",IF(I12="W",IF(LEFT(G12,1)="+",H12*VALUE(MID(G12,2,10))/100,H12*100/VALUE(MID(G12,2,10))),-H12))</f>
        <v/>
      </c>
      <c r="K12" s="10" t="n">
        <f aca="false">IF(SUM($H$5:H12)=0,"",SUM($J$5:J12)/SUM($H$5:H12))</f>
        <v>0</v>
      </c>
    </row>
    <row r="13" customFormat="false" ht="15" hidden="false" customHeight="false" outlineLevel="0" collapsed="false">
      <c r="A13" s="4" t="s">
        <v>159</v>
      </c>
      <c r="B13" s="6" t="s">
        <v>68</v>
      </c>
      <c r="C13" s="4" t="s">
        <v>22</v>
      </c>
      <c r="D13" s="4" t="s">
        <v>24</v>
      </c>
      <c r="E13" s="9" t="n">
        <v>0.17</v>
      </c>
      <c r="F13" s="4" t="str">
        <f aca="false">IF(E13&lt;0.5,"+"&amp;ROUND((1-E13)/E13*100,0),"-"&amp;ROUND(E13/(1-E13)*100,0))</f>
        <v>+488</v>
      </c>
      <c r="G13" s="14" t="s">
        <v>28</v>
      </c>
      <c r="H13" s="15" t="n">
        <v>0</v>
      </c>
      <c r="I13" s="14"/>
      <c r="J13" s="16" t="str">
        <f aca="false">IF(I13="","",IF(I13="W",IF(LEFT(G13,1)="+",H13*VALUE(MID(G13,2,10))/100,H13*100/VALUE(MID(G13,2,10))),-H13))</f>
        <v/>
      </c>
      <c r="K13" s="10" t="n">
        <f aca="false">IF(SUM($H$5:H13)=0,"",SUM($J$5:J13)/SUM($H$5:H13))</f>
        <v>0</v>
      </c>
    </row>
    <row r="14" customFormat="false" ht="15" hidden="false" customHeight="false" outlineLevel="0" collapsed="false">
      <c r="A14" s="4" t="s">
        <v>159</v>
      </c>
      <c r="B14" s="6" t="s">
        <v>71</v>
      </c>
      <c r="C14" s="4" t="s">
        <v>72</v>
      </c>
      <c r="D14" s="4" t="s">
        <v>73</v>
      </c>
      <c r="E14" s="9" t="n">
        <v>0.2</v>
      </c>
      <c r="F14" s="4" t="str">
        <f aca="false">IF(E14&lt;0.5,"+"&amp;ROUND((1-E14)/E14*100,0),"-"&amp;ROUND(E14/(1-E14)*100,0))</f>
        <v>+400</v>
      </c>
      <c r="G14" s="14" t="s">
        <v>75</v>
      </c>
      <c r="H14" s="15" t="n">
        <v>0</v>
      </c>
      <c r="I14" s="14"/>
      <c r="J14" s="16" t="str">
        <f aca="false">IF(I14="","",IF(I14="W",IF(LEFT(G14,1)="+",H14*VALUE(MID(G14,2,10))/100,H14*100/VALUE(MID(G14,2,10))),-H14))</f>
        <v/>
      </c>
      <c r="K14" s="10" t="n">
        <f aca="false">IF(SUM($H$5:H14)=0,"",SUM($J$5:J14)/SUM($H$5:H14))</f>
        <v>0</v>
      </c>
    </row>
    <row r="15" customFormat="false" ht="15" hidden="false" customHeight="false" outlineLevel="0" collapsed="false">
      <c r="A15" s="4" t="s">
        <v>159</v>
      </c>
      <c r="B15" s="6" t="s">
        <v>77</v>
      </c>
      <c r="C15" s="4" t="s">
        <v>22</v>
      </c>
      <c r="D15" s="4" t="s">
        <v>24</v>
      </c>
      <c r="E15" s="9" t="n">
        <v>0.16</v>
      </c>
      <c r="F15" s="4" t="str">
        <f aca="false">IF(E15&lt;0.5,"+"&amp;ROUND((1-E15)/E15*100,0),"-"&amp;ROUND(E15/(1-E15)*100,0))</f>
        <v>+525</v>
      </c>
      <c r="G15" s="14" t="s">
        <v>75</v>
      </c>
      <c r="H15" s="15" t="n">
        <v>0</v>
      </c>
      <c r="I15" s="14"/>
      <c r="J15" s="16" t="str">
        <f aca="false">IF(I15="","",IF(I15="W",IF(LEFT(G15,1)="+",H15*VALUE(MID(G15,2,10))/100,H15*100/VALUE(MID(G15,2,10))),-H15))</f>
        <v/>
      </c>
      <c r="K15" s="10" t="n">
        <f aca="false">IF(SUM($H$5:H15)=0,"",SUM($J$5:J15)/SUM($H$5:H15))</f>
        <v>0</v>
      </c>
    </row>
    <row r="16" customFormat="false" ht="15" hidden="false" customHeight="false" outlineLevel="0" collapsed="false">
      <c r="A16" s="4" t="s">
        <v>159</v>
      </c>
      <c r="B16" s="6" t="s">
        <v>85</v>
      </c>
      <c r="C16" s="4" t="s">
        <v>47</v>
      </c>
      <c r="D16" s="4" t="s">
        <v>48</v>
      </c>
      <c r="E16" s="9" t="n">
        <v>0.17</v>
      </c>
      <c r="F16" s="4" t="str">
        <f aca="false">IF(E16&lt;0.5,"+"&amp;ROUND((1-E16)/E16*100,0),"-"&amp;ROUND(E16/(1-E16)*100,0))</f>
        <v>+488</v>
      </c>
      <c r="G16" s="14" t="s">
        <v>28</v>
      </c>
      <c r="H16" s="15" t="n">
        <v>0</v>
      </c>
      <c r="I16" s="14"/>
      <c r="J16" s="16" t="str">
        <f aca="false">IF(I16="","",IF(I16="W",IF(LEFT(G16,1)="+",H16*VALUE(MID(G16,2,10))/100,H16*100/VALUE(MID(G16,2,10))),-H16))</f>
        <v/>
      </c>
      <c r="K16" s="10" t="n">
        <f aca="false">IF(SUM($H$5:H16)=0,"",SUM($J$5:J16)/SUM($H$5:H16))</f>
        <v>0</v>
      </c>
    </row>
    <row r="17" customFormat="false" ht="15" hidden="false" customHeight="false" outlineLevel="0" collapsed="false">
      <c r="A17" s="4" t="s">
        <v>159</v>
      </c>
      <c r="B17" s="6" t="s">
        <v>101</v>
      </c>
      <c r="C17" s="4" t="s">
        <v>102</v>
      </c>
      <c r="D17" s="4" t="s">
        <v>103</v>
      </c>
      <c r="E17" s="9" t="n">
        <v>0.16</v>
      </c>
      <c r="F17" s="4" t="str">
        <f aca="false">IF(E17&lt;0.5,"+"&amp;ROUND((1-E17)/E17*100,0),"-"&amp;ROUND(E17/(1-E17)*100,0))</f>
        <v>+525</v>
      </c>
      <c r="G17" s="14" t="s">
        <v>104</v>
      </c>
      <c r="H17" s="15" t="n">
        <v>0</v>
      </c>
      <c r="I17" s="14"/>
      <c r="J17" s="16" t="str">
        <f aca="false">IF(I17="","",IF(I17="W",IF(LEFT(G17,1)="+",H17*VALUE(MID(G17,2,10))/100,H17*100/VALUE(MID(G17,2,10))),-H17))</f>
        <v/>
      </c>
      <c r="K17" s="10" t="n">
        <f aca="false">IF(SUM($H$5:H17)=0,"",SUM($J$5:J17)/SUM($H$5:H17))</f>
        <v>0</v>
      </c>
    </row>
    <row r="19" customFormat="false" ht="15" hidden="false" customHeight="false" outlineLevel="0" collapsed="false">
      <c r="A19" s="18" t="s">
        <v>161</v>
      </c>
      <c r="B19" s="18"/>
      <c r="C19" s="18"/>
      <c r="D19" s="18"/>
      <c r="E19" s="18"/>
      <c r="F19" s="18"/>
      <c r="G19" s="18"/>
      <c r="H19" s="19" t="n">
        <f aca="false">SUM(H5:H17)</f>
        <v>20</v>
      </c>
      <c r="I19" s="18"/>
      <c r="J19" s="20" t="n">
        <f aca="false">SUM(J5:J17)</f>
        <v>0</v>
      </c>
      <c r="K19" s="21" t="n">
        <f aca="false">IF(H19=0,"",J19/H19)</f>
        <v>0</v>
      </c>
    </row>
  </sheetData>
  <mergeCells count="3">
    <mergeCell ref="A1:K1"/>
    <mergeCell ref="A2:K2"/>
    <mergeCell ref="A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21.75" hidden="false" customHeight="true" outlineLevel="0" collapsed="false">
      <c r="A1" s="1" t="s">
        <v>162</v>
      </c>
      <c r="B1" s="1"/>
    </row>
    <row r="2" customFormat="false" ht="24" hidden="false" customHeight="true" outlineLevel="0" collapsed="false">
      <c r="A2" s="3" t="s">
        <v>163</v>
      </c>
      <c r="B2" s="3" t="s">
        <v>164</v>
      </c>
    </row>
    <row r="3" customFormat="false" ht="43.5" hidden="false" customHeight="true" outlineLevel="0" collapsed="false">
      <c r="A3" s="22" t="s">
        <v>165</v>
      </c>
      <c r="B3" s="11" t="s">
        <v>166</v>
      </c>
    </row>
    <row r="4" customFormat="false" ht="43.5" hidden="false" customHeight="true" outlineLevel="0" collapsed="false">
      <c r="A4" s="22" t="s">
        <v>167</v>
      </c>
      <c r="B4" s="11" t="s">
        <v>168</v>
      </c>
    </row>
    <row r="5" customFormat="false" ht="43.5" hidden="false" customHeight="true" outlineLevel="0" collapsed="false">
      <c r="A5" s="22" t="s">
        <v>169</v>
      </c>
      <c r="B5" s="11" t="s">
        <v>170</v>
      </c>
    </row>
    <row r="6" customFormat="false" ht="43.5" hidden="false" customHeight="true" outlineLevel="0" collapsed="false">
      <c r="A6" s="22" t="s">
        <v>171</v>
      </c>
      <c r="B6" s="11" t="s">
        <v>172</v>
      </c>
    </row>
    <row r="7" customFormat="false" ht="43.5" hidden="false" customHeight="true" outlineLevel="0" collapsed="false">
      <c r="A7" s="22" t="s">
        <v>173</v>
      </c>
      <c r="B7" s="11" t="s">
        <v>174</v>
      </c>
    </row>
    <row r="8" customFormat="false" ht="43.5" hidden="false" customHeight="true" outlineLevel="0" collapsed="false">
      <c r="A8" s="22" t="s">
        <v>175</v>
      </c>
      <c r="B8" s="11" t="s">
        <v>176</v>
      </c>
    </row>
    <row r="9" customFormat="false" ht="43.5" hidden="false" customHeight="true" outlineLevel="0" collapsed="false">
      <c r="A9" s="22" t="s">
        <v>177</v>
      </c>
      <c r="B9" s="11" t="s">
        <v>178</v>
      </c>
    </row>
    <row r="10" customFormat="false" ht="43.5" hidden="false" customHeight="true" outlineLevel="0" collapsed="false">
      <c r="A10" s="22" t="s">
        <v>179</v>
      </c>
      <c r="B10" s="11" t="s">
        <v>180</v>
      </c>
    </row>
    <row r="11" customFormat="false" ht="43.5" hidden="false" customHeight="true" outlineLevel="0" collapsed="false">
      <c r="A11" s="22" t="s">
        <v>181</v>
      </c>
      <c r="B11" s="11" t="s">
        <v>182</v>
      </c>
    </row>
    <row r="12" customFormat="false" ht="43.5" hidden="false" customHeight="true" outlineLevel="0" collapsed="false">
      <c r="A12" s="22" t="s">
        <v>183</v>
      </c>
      <c r="B12" s="11" t="s">
        <v>184</v>
      </c>
    </row>
    <row r="13" customFormat="false" ht="43.5" hidden="false" customHeight="true" outlineLevel="0" collapsed="false">
      <c r="A13" s="22" t="s">
        <v>185</v>
      </c>
      <c r="B13" s="11" t="s">
        <v>186</v>
      </c>
    </row>
    <row r="14" customFormat="false" ht="43.5" hidden="false" customHeight="true" outlineLevel="0" collapsed="false">
      <c r="A14" s="22" t="s">
        <v>187</v>
      </c>
      <c r="B14" s="11" t="s">
        <v>188</v>
      </c>
    </row>
    <row r="15" customFormat="false" ht="43.5" hidden="false" customHeight="true" outlineLevel="0" collapsed="false">
      <c r="A15" s="22" t="s">
        <v>189</v>
      </c>
      <c r="B15" s="11" t="s">
        <v>190</v>
      </c>
    </row>
    <row r="16" customFormat="false" ht="43.5" hidden="false" customHeight="true" outlineLevel="0" collapsed="false">
      <c r="A16" s="22" t="s">
        <v>191</v>
      </c>
      <c r="B16" s="11" t="s">
        <v>192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2026-05-01T16:11:29Z</dcterms:created>
  <dc:creator>openpyxl</dc:creator>
  <dc:description/>
  <dc:language>en-US</dc:language>
  <cp:lastModifiedBy/>
  <dcterms:modified xsi:type="dcterms:W3CDTF">2026-05-01T16:11:29Z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